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lmers-my.sharepoint.com/personal/morfeldt_chalmers_se/Documents/FairShareforSweden/"/>
    </mc:Choice>
  </mc:AlternateContent>
  <xr:revisionPtr revIDLastSave="583" documentId="13_ncr:1_{FD2936F9-A745-9148-8D07-2F19652C6DC0}" xr6:coauthVersionLast="47" xr6:coauthVersionMax="47" xr10:uidLastSave="{67FB1D29-3E2A-C94D-8802-B06CEC21A0F8}"/>
  <bookViews>
    <workbookView xWindow="0" yWindow="500" windowWidth="28800" windowHeight="17500" activeTab="4" xr2:uid="{A2F0DD9E-E310-43AF-BD44-7FC0E6E6099E}"/>
  </bookViews>
  <sheets>
    <sheet name="Historical responsibility T" sheetId="1" r:id="rId1"/>
    <sheet name="Net-Zero Territorial" sheetId="6" r:id="rId2"/>
    <sheet name="Historical responsibility C" sheetId="3" r:id="rId3"/>
    <sheet name="Net-Zero Consumption-based" sheetId="7" r:id="rId4"/>
    <sheet name="Historical responsibility C+T" sheetId="8" r:id="rId5"/>
    <sheet name="Net-Zero C+T" sheetId="9" r:id="rId6"/>
    <sheet name="IPCC IMPs" sheetId="5" r:id="rId7"/>
    <sheet name="Economic capacity" sheetId="2" r:id="rId8"/>
    <sheet name="T vs C over time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8" l="1"/>
  <c r="B5" i="8" s="1"/>
  <c r="F106" i="1"/>
  <c r="E83" i="8"/>
  <c r="F72" i="8" l="1"/>
  <c r="F71" i="8"/>
  <c r="F70" i="8"/>
  <c r="F69" i="8"/>
  <c r="B27" i="8"/>
  <c r="B34" i="8"/>
  <c r="B18" i="8"/>
  <c r="B17" i="8"/>
  <c r="B24" i="8"/>
  <c r="B15" i="8"/>
  <c r="B7" i="8"/>
  <c r="B11" i="8"/>
  <c r="B10" i="8"/>
  <c r="B25" i="8"/>
  <c r="B16" i="8"/>
  <c r="B23" i="8"/>
  <c r="B30" i="8"/>
  <c r="B22" i="8"/>
  <c r="B14" i="8"/>
  <c r="B6" i="8"/>
  <c r="B28" i="8"/>
  <c r="B20" i="8"/>
  <c r="B12" i="8"/>
  <c r="B19" i="8"/>
  <c r="B26" i="8"/>
  <c r="B33" i="8"/>
  <c r="B9" i="8"/>
  <c r="B32" i="8"/>
  <c r="B8" i="8"/>
  <c r="B31" i="8"/>
  <c r="B29" i="8"/>
  <c r="B21" i="8"/>
  <c r="B13" i="8"/>
  <c r="F81" i="8"/>
  <c r="E81" i="8"/>
  <c r="U24" i="8" s="1"/>
  <c r="N65" i="8"/>
  <c r="Q65" i="8" s="1"/>
  <c r="G65" i="8" s="1"/>
  <c r="M65" i="8"/>
  <c r="P65" i="8" s="1"/>
  <c r="F65" i="8" s="1"/>
  <c r="N64" i="8"/>
  <c r="Q64" i="8" s="1"/>
  <c r="G64" i="8" s="1"/>
  <c r="M64" i="8"/>
  <c r="P64" i="8" s="1"/>
  <c r="F64" i="8" s="1"/>
  <c r="N63" i="8"/>
  <c r="Q63" i="8" s="1"/>
  <c r="G63" i="8" s="1"/>
  <c r="M63" i="8"/>
  <c r="P63" i="8" s="1"/>
  <c r="F63" i="8" s="1"/>
  <c r="N62" i="8"/>
  <c r="Q62" i="8" s="1"/>
  <c r="G62" i="8" s="1"/>
  <c r="M62" i="8"/>
  <c r="P62" i="8" s="1"/>
  <c r="F62" i="8" s="1"/>
  <c r="N61" i="8"/>
  <c r="Q61" i="8" s="1"/>
  <c r="G61" i="8" s="1"/>
  <c r="M61" i="8"/>
  <c r="P61" i="8" s="1"/>
  <c r="F61" i="8" s="1"/>
  <c r="N60" i="8"/>
  <c r="Q60" i="8" s="1"/>
  <c r="G60" i="8" s="1"/>
  <c r="M60" i="8"/>
  <c r="P60" i="8" s="1"/>
  <c r="F60" i="8" s="1"/>
  <c r="N59" i="8"/>
  <c r="Q59" i="8" s="1"/>
  <c r="G59" i="8" s="1"/>
  <c r="M59" i="8"/>
  <c r="P59" i="8" s="1"/>
  <c r="F59" i="8" s="1"/>
  <c r="N58" i="8"/>
  <c r="Q58" i="8" s="1"/>
  <c r="M58" i="8"/>
  <c r="P58" i="8" s="1"/>
  <c r="F58" i="8" s="1"/>
  <c r="G58" i="8"/>
  <c r="N57" i="8"/>
  <c r="Q57" i="8" s="1"/>
  <c r="G57" i="8" s="1"/>
  <c r="M57" i="8"/>
  <c r="P57" i="8" s="1"/>
  <c r="F57" i="8"/>
  <c r="N56" i="8"/>
  <c r="Q56" i="8" s="1"/>
  <c r="G56" i="8" s="1"/>
  <c r="M56" i="8"/>
  <c r="P56" i="8" s="1"/>
  <c r="F56" i="8" s="1"/>
  <c r="N55" i="8"/>
  <c r="Q55" i="8" s="1"/>
  <c r="G55" i="8" s="1"/>
  <c r="M55" i="8"/>
  <c r="P55" i="8" s="1"/>
  <c r="F55" i="8" s="1"/>
  <c r="N54" i="8"/>
  <c r="Q54" i="8" s="1"/>
  <c r="G54" i="8" s="1"/>
  <c r="M54" i="8"/>
  <c r="P54" i="8" s="1"/>
  <c r="F54" i="8" s="1"/>
  <c r="N53" i="8"/>
  <c r="Q53" i="8" s="1"/>
  <c r="G53" i="8" s="1"/>
  <c r="M53" i="8"/>
  <c r="P53" i="8" s="1"/>
  <c r="F53" i="8" s="1"/>
  <c r="N52" i="8"/>
  <c r="Q52" i="8" s="1"/>
  <c r="G52" i="8" s="1"/>
  <c r="M52" i="8"/>
  <c r="P52" i="8" s="1"/>
  <c r="F52" i="8" s="1"/>
  <c r="N51" i="8"/>
  <c r="Q51" i="8" s="1"/>
  <c r="G51" i="8" s="1"/>
  <c r="M51" i="8"/>
  <c r="P51" i="8" s="1"/>
  <c r="F51" i="8" s="1"/>
  <c r="N50" i="8"/>
  <c r="Q50" i="8" s="1"/>
  <c r="G50" i="8" s="1"/>
  <c r="M50" i="8"/>
  <c r="P50" i="8" s="1"/>
  <c r="F50" i="8" s="1"/>
  <c r="N49" i="8"/>
  <c r="Q49" i="8" s="1"/>
  <c r="G49" i="8" s="1"/>
  <c r="M49" i="8"/>
  <c r="P49" i="8" s="1"/>
  <c r="F49" i="8" s="1"/>
  <c r="N48" i="8"/>
  <c r="Q48" i="8" s="1"/>
  <c r="G48" i="8" s="1"/>
  <c r="M48" i="8"/>
  <c r="P48" i="8" s="1"/>
  <c r="F48" i="8" s="1"/>
  <c r="N47" i="8"/>
  <c r="Q47" i="8" s="1"/>
  <c r="G47" i="8" s="1"/>
  <c r="M47" i="8"/>
  <c r="P47" i="8" s="1"/>
  <c r="F47" i="8" s="1"/>
  <c r="N46" i="8"/>
  <c r="Q46" i="8" s="1"/>
  <c r="G46" i="8" s="1"/>
  <c r="M46" i="8"/>
  <c r="P46" i="8" s="1"/>
  <c r="F46" i="8" s="1"/>
  <c r="N45" i="8"/>
  <c r="Q45" i="8" s="1"/>
  <c r="G45" i="8" s="1"/>
  <c r="M45" i="8"/>
  <c r="P45" i="8" s="1"/>
  <c r="F45" i="8" s="1"/>
  <c r="N44" i="8"/>
  <c r="Q44" i="8" s="1"/>
  <c r="G44" i="8" s="1"/>
  <c r="M44" i="8"/>
  <c r="P44" i="8" s="1"/>
  <c r="F44" i="8" s="1"/>
  <c r="N43" i="8"/>
  <c r="Q43" i="8" s="1"/>
  <c r="G43" i="8" s="1"/>
  <c r="M43" i="8"/>
  <c r="P43" i="8" s="1"/>
  <c r="F43" i="8" s="1"/>
  <c r="N42" i="8"/>
  <c r="Q42" i="8" s="1"/>
  <c r="G42" i="8" s="1"/>
  <c r="M42" i="8"/>
  <c r="P42" i="8" s="1"/>
  <c r="F42" i="8" s="1"/>
  <c r="N41" i="8"/>
  <c r="Q41" i="8" s="1"/>
  <c r="G41" i="8" s="1"/>
  <c r="M41" i="8"/>
  <c r="P41" i="8" s="1"/>
  <c r="F41" i="8" s="1"/>
  <c r="N40" i="8"/>
  <c r="Q40" i="8" s="1"/>
  <c r="G40" i="8" s="1"/>
  <c r="M40" i="8"/>
  <c r="P40" i="8" s="1"/>
  <c r="F40" i="8" s="1"/>
  <c r="N39" i="8"/>
  <c r="Q39" i="8" s="1"/>
  <c r="G39" i="8" s="1"/>
  <c r="M39" i="8"/>
  <c r="P39" i="8" s="1"/>
  <c r="F39" i="8" s="1"/>
  <c r="N38" i="8"/>
  <c r="Q38" i="8" s="1"/>
  <c r="G38" i="8" s="1"/>
  <c r="M38" i="8"/>
  <c r="P38" i="8" s="1"/>
  <c r="F38" i="8" s="1"/>
  <c r="N37" i="8"/>
  <c r="Q37" i="8" s="1"/>
  <c r="G37" i="8" s="1"/>
  <c r="M37" i="8"/>
  <c r="P37" i="8" s="1"/>
  <c r="F37" i="8" s="1"/>
  <c r="N36" i="8"/>
  <c r="Q36" i="8" s="1"/>
  <c r="G36" i="8" s="1"/>
  <c r="M36" i="8"/>
  <c r="P36" i="8" s="1"/>
  <c r="F36" i="8" s="1"/>
  <c r="M35" i="8"/>
  <c r="N35" i="8" s="1"/>
  <c r="Q35" i="8" s="1"/>
  <c r="G35" i="8" s="1"/>
  <c r="M34" i="8"/>
  <c r="P34" i="8" s="1"/>
  <c r="F34" i="8" s="1"/>
  <c r="M33" i="8"/>
  <c r="P33" i="8" s="1"/>
  <c r="F33" i="8" s="1"/>
  <c r="M32" i="8"/>
  <c r="P32" i="8" s="1"/>
  <c r="F32" i="8" s="1"/>
  <c r="M31" i="8"/>
  <c r="P31" i="8" s="1"/>
  <c r="F31" i="8" s="1"/>
  <c r="M30" i="8"/>
  <c r="P30" i="8" s="1"/>
  <c r="F30" i="8" s="1"/>
  <c r="M29" i="8"/>
  <c r="P29" i="8" s="1"/>
  <c r="F29" i="8" s="1"/>
  <c r="M28" i="8"/>
  <c r="P28" i="8" s="1"/>
  <c r="F28" i="8" s="1"/>
  <c r="M27" i="8"/>
  <c r="P27" i="8" s="1"/>
  <c r="F27" i="8" s="1"/>
  <c r="M26" i="8"/>
  <c r="P26" i="8" s="1"/>
  <c r="F26" i="8" s="1"/>
  <c r="M25" i="8"/>
  <c r="N25" i="8" s="1"/>
  <c r="M24" i="8"/>
  <c r="P24" i="8" s="1"/>
  <c r="F24" i="8" s="1"/>
  <c r="M23" i="8"/>
  <c r="P23" i="8" s="1"/>
  <c r="F23" i="8" s="1"/>
  <c r="M22" i="8"/>
  <c r="P22" i="8" s="1"/>
  <c r="F22" i="8" s="1"/>
  <c r="M21" i="8"/>
  <c r="P21" i="8" s="1"/>
  <c r="F21" i="8" s="1"/>
  <c r="M20" i="8"/>
  <c r="P20" i="8" s="1"/>
  <c r="F20" i="8" s="1"/>
  <c r="M19" i="8"/>
  <c r="P19" i="8" s="1"/>
  <c r="F19" i="8" s="1"/>
  <c r="M18" i="8"/>
  <c r="P18" i="8" s="1"/>
  <c r="F18" i="8" s="1"/>
  <c r="M17" i="8"/>
  <c r="P17" i="8" s="1"/>
  <c r="F17" i="8" s="1"/>
  <c r="M16" i="8"/>
  <c r="P16" i="8" s="1"/>
  <c r="F16" i="8" s="1"/>
  <c r="M15" i="8"/>
  <c r="M14" i="8"/>
  <c r="P14" i="8" s="1"/>
  <c r="F14" i="8" s="1"/>
  <c r="M13" i="8"/>
  <c r="P13" i="8" s="1"/>
  <c r="F13" i="8" s="1"/>
  <c r="M12" i="8"/>
  <c r="N12" i="8" s="1"/>
  <c r="Q12" i="8" s="1"/>
  <c r="G12" i="8" s="1"/>
  <c r="M11" i="8"/>
  <c r="P11" i="8" s="1"/>
  <c r="F11" i="8" s="1"/>
  <c r="M10" i="8"/>
  <c r="P10" i="8" s="1"/>
  <c r="F10" i="8" s="1"/>
  <c r="M9" i="8"/>
  <c r="P9" i="8" s="1"/>
  <c r="F9" i="8" s="1"/>
  <c r="M8" i="8"/>
  <c r="P8" i="8" s="1"/>
  <c r="F8" i="8" s="1"/>
  <c r="M7" i="8"/>
  <c r="P7" i="8" s="1"/>
  <c r="F7" i="8" s="1"/>
  <c r="M6" i="8"/>
  <c r="N6" i="8" s="1"/>
  <c r="Q6" i="8" s="1"/>
  <c r="G6" i="8" s="1"/>
  <c r="M5" i="8"/>
  <c r="P5" i="8" s="1"/>
  <c r="F5" i="8" s="1"/>
  <c r="F8" i="7"/>
  <c r="F9" i="7"/>
  <c r="F11" i="7"/>
  <c r="F13" i="7"/>
  <c r="F15" i="7"/>
  <c r="F17" i="7"/>
  <c r="F19" i="7"/>
  <c r="B6" i="7"/>
  <c r="F6" i="7" s="1"/>
  <c r="F16" i="7" s="1"/>
  <c r="B3" i="7"/>
  <c r="B4" i="7"/>
  <c r="B5" i="7"/>
  <c r="B2" i="7"/>
  <c r="C18" i="6"/>
  <c r="E10" i="6"/>
  <c r="F10" i="6"/>
  <c r="G10" i="6"/>
  <c r="H10" i="6"/>
  <c r="E11" i="6"/>
  <c r="F11" i="6"/>
  <c r="G11" i="6"/>
  <c r="H11" i="6"/>
  <c r="E12" i="6"/>
  <c r="F12" i="6"/>
  <c r="G12" i="6"/>
  <c r="H12" i="6"/>
  <c r="E13" i="6"/>
  <c r="F13" i="6"/>
  <c r="G13" i="6"/>
  <c r="H13" i="6"/>
  <c r="E14" i="6"/>
  <c r="F14" i="6"/>
  <c r="G14" i="6"/>
  <c r="H14" i="6"/>
  <c r="E15" i="6"/>
  <c r="F15" i="6"/>
  <c r="G15" i="6"/>
  <c r="H15" i="6"/>
  <c r="E16" i="6"/>
  <c r="F16" i="6"/>
  <c r="G16" i="6"/>
  <c r="H16" i="6"/>
  <c r="F17" i="6"/>
  <c r="G17" i="6"/>
  <c r="H17" i="6"/>
  <c r="F18" i="6"/>
  <c r="G18" i="6"/>
  <c r="H18" i="6"/>
  <c r="F19" i="6"/>
  <c r="G19" i="6"/>
  <c r="H19" i="6"/>
  <c r="F20" i="6"/>
  <c r="G20" i="6"/>
  <c r="H20" i="6"/>
  <c r="F21" i="6"/>
  <c r="G21" i="6"/>
  <c r="H21" i="6"/>
  <c r="F22" i="6"/>
  <c r="G22" i="6"/>
  <c r="H22" i="6"/>
  <c r="F23" i="6"/>
  <c r="G23" i="6"/>
  <c r="H23" i="6"/>
  <c r="F24" i="6"/>
  <c r="G24" i="6"/>
  <c r="H24" i="6"/>
  <c r="F25" i="6"/>
  <c r="G25" i="6"/>
  <c r="H25" i="6"/>
  <c r="F26" i="6"/>
  <c r="G26" i="6"/>
  <c r="H26" i="6"/>
  <c r="F27" i="6"/>
  <c r="G27" i="6"/>
  <c r="H27" i="6"/>
  <c r="G28" i="6"/>
  <c r="H28" i="6"/>
  <c r="G29" i="6"/>
  <c r="H29" i="6"/>
  <c r="G30" i="6"/>
  <c r="H30" i="6"/>
  <c r="G31" i="6"/>
  <c r="H31" i="6"/>
  <c r="G32" i="6"/>
  <c r="H32" i="6"/>
  <c r="G33" i="6"/>
  <c r="H33" i="6"/>
  <c r="G34" i="6"/>
  <c r="H34" i="6"/>
  <c r="G35" i="6"/>
  <c r="H35" i="6"/>
  <c r="G36" i="6"/>
  <c r="H36" i="6"/>
  <c r="G37" i="6"/>
  <c r="H37" i="6"/>
  <c r="H38" i="6"/>
  <c r="H39" i="6"/>
  <c r="H40" i="6"/>
  <c r="H41" i="6"/>
  <c r="H42" i="6"/>
  <c r="H9" i="6"/>
  <c r="G9" i="6"/>
  <c r="F9" i="6"/>
  <c r="E9" i="6"/>
  <c r="C10" i="6"/>
  <c r="C11" i="6"/>
  <c r="C12" i="6"/>
  <c r="C13" i="6"/>
  <c r="C14" i="6"/>
  <c r="C15" i="6"/>
  <c r="C16" i="6"/>
  <c r="C17" i="6"/>
  <c r="C9" i="6"/>
  <c r="D8" i="6"/>
  <c r="E8" i="6"/>
  <c r="F8" i="6" s="1"/>
  <c r="G8" i="6" s="1"/>
  <c r="H8" i="6" s="1"/>
  <c r="C8" i="6"/>
  <c r="B3" i="6"/>
  <c r="B4" i="6"/>
  <c r="B5" i="6"/>
  <c r="B6" i="6"/>
  <c r="B7" i="6"/>
  <c r="B8" i="6"/>
  <c r="B2" i="6"/>
  <c r="E89" i="8" l="1"/>
  <c r="N20" i="8"/>
  <c r="Q20" i="8" s="1"/>
  <c r="G20" i="8" s="1"/>
  <c r="N34" i="8"/>
  <c r="Q34" i="8" s="1"/>
  <c r="G34" i="8" s="1"/>
  <c r="N16" i="8"/>
  <c r="Q16" i="8" s="1"/>
  <c r="G16" i="8" s="1"/>
  <c r="N18" i="8"/>
  <c r="Q18" i="8" s="1"/>
  <c r="G18" i="8" s="1"/>
  <c r="P35" i="8"/>
  <c r="F35" i="8" s="1"/>
  <c r="E80" i="8" s="1"/>
  <c r="N28" i="8"/>
  <c r="Q28" i="8" s="1"/>
  <c r="G28" i="8" s="1"/>
  <c r="N24" i="8"/>
  <c r="Q24" i="8" s="1"/>
  <c r="G24" i="8" s="1"/>
  <c r="N32" i="8"/>
  <c r="Q32" i="8" s="1"/>
  <c r="G32" i="8" s="1"/>
  <c r="N22" i="8"/>
  <c r="Q22" i="8" s="1"/>
  <c r="G22" i="8" s="1"/>
  <c r="N9" i="8"/>
  <c r="Q9" i="8" s="1"/>
  <c r="G9" i="8" s="1"/>
  <c r="N17" i="8"/>
  <c r="Q17" i="8" s="1"/>
  <c r="G17" i="8" s="1"/>
  <c r="N26" i="8"/>
  <c r="Q26" i="8" s="1"/>
  <c r="G26" i="8" s="1"/>
  <c r="N8" i="8"/>
  <c r="Q8" i="8" s="1"/>
  <c r="G8" i="8" s="1"/>
  <c r="P12" i="8"/>
  <c r="F12" i="8" s="1"/>
  <c r="N30" i="8"/>
  <c r="Q30" i="8" s="1"/>
  <c r="G30" i="8" s="1"/>
  <c r="Q25" i="8"/>
  <c r="G25" i="8" s="1"/>
  <c r="G72" i="8"/>
  <c r="F80" i="8" s="1"/>
  <c r="N14" i="8"/>
  <c r="Q14" i="8" s="1"/>
  <c r="G14" i="8" s="1"/>
  <c r="N21" i="8"/>
  <c r="Q21" i="8" s="1"/>
  <c r="G21" i="8" s="1"/>
  <c r="N27" i="8"/>
  <c r="Q27" i="8" s="1"/>
  <c r="G27" i="8" s="1"/>
  <c r="N29" i="8"/>
  <c r="Q29" i="8" s="1"/>
  <c r="G29" i="8" s="1"/>
  <c r="N31" i="8"/>
  <c r="Q31" i="8" s="1"/>
  <c r="G31" i="8" s="1"/>
  <c r="N33" i="8"/>
  <c r="Q33" i="8" s="1"/>
  <c r="G33" i="8" s="1"/>
  <c r="N23" i="8"/>
  <c r="Q23" i="8" s="1"/>
  <c r="G23" i="8" s="1"/>
  <c r="P6" i="8"/>
  <c r="F6" i="8" s="1"/>
  <c r="N11" i="8"/>
  <c r="Q11" i="8" s="1"/>
  <c r="G11" i="8" s="1"/>
  <c r="N5" i="8"/>
  <c r="N13" i="8"/>
  <c r="Q13" i="8" s="1"/>
  <c r="G13" i="8" s="1"/>
  <c r="P25" i="8"/>
  <c r="F25" i="8" s="1"/>
  <c r="N19" i="8"/>
  <c r="Q19" i="8" s="1"/>
  <c r="G19" i="8" s="1"/>
  <c r="N10" i="8"/>
  <c r="Q10" i="8" s="1"/>
  <c r="G10" i="8" s="1"/>
  <c r="N7" i="8"/>
  <c r="Q7" i="8" s="1"/>
  <c r="G7" i="8" s="1"/>
  <c r="N15" i="8"/>
  <c r="P15" i="8"/>
  <c r="F15" i="8" s="1"/>
  <c r="F20" i="7"/>
  <c r="F18" i="7"/>
  <c r="F14" i="7"/>
  <c r="F12" i="7"/>
  <c r="F10" i="7"/>
  <c r="C6" i="7"/>
  <c r="E6" i="7"/>
  <c r="D6" i="7"/>
  <c r="C7" i="7"/>
  <c r="U23" i="8" l="1"/>
  <c r="E88" i="8"/>
  <c r="G71" i="8"/>
  <c r="G70" i="8"/>
  <c r="Q15" i="8"/>
  <c r="G15" i="8" s="1"/>
  <c r="Q5" i="8"/>
  <c r="G5" i="8" s="1"/>
  <c r="G69" i="8"/>
  <c r="D11" i="7"/>
  <c r="D8" i="7"/>
  <c r="D10" i="7"/>
  <c r="D12" i="7"/>
  <c r="D14" i="7"/>
  <c r="D16" i="7"/>
  <c r="D18" i="7"/>
  <c r="D20" i="7"/>
  <c r="D22" i="7"/>
  <c r="D24" i="7"/>
  <c r="D26" i="7"/>
  <c r="D9" i="7"/>
  <c r="D27" i="7"/>
  <c r="D13" i="7"/>
  <c r="D19" i="7"/>
  <c r="D23" i="7"/>
  <c r="D15" i="7"/>
  <c r="D17" i="7"/>
  <c r="D21" i="7"/>
  <c r="D25" i="7"/>
  <c r="E8" i="7"/>
  <c r="C8" i="7"/>
  <c r="C10" i="7"/>
  <c r="C12" i="7"/>
  <c r="C9" i="7"/>
  <c r="C11" i="7"/>
  <c r="C13" i="7"/>
  <c r="D7" i="7"/>
  <c r="E7" i="7" l="1"/>
  <c r="F7" i="7" l="1"/>
  <c r="F69" i="3" l="1"/>
  <c r="H7" i="2"/>
  <c r="H9" i="2"/>
  <c r="H10" i="2"/>
  <c r="H15" i="2"/>
  <c r="H17" i="2"/>
  <c r="H18" i="2"/>
  <c r="H23" i="2"/>
  <c r="H25" i="2"/>
  <c r="H26" i="2"/>
  <c r="H31" i="2"/>
  <c r="H33" i="2"/>
  <c r="H34" i="2"/>
  <c r="E6" i="2"/>
  <c r="F6" i="2"/>
  <c r="H6" i="2" s="1"/>
  <c r="E7" i="2"/>
  <c r="F7" i="2"/>
  <c r="E8" i="2"/>
  <c r="F8" i="2"/>
  <c r="H8" i="2" s="1"/>
  <c r="E9" i="2"/>
  <c r="F9" i="2"/>
  <c r="E10" i="2"/>
  <c r="F10" i="2"/>
  <c r="E11" i="2"/>
  <c r="F11" i="2"/>
  <c r="H11" i="2" s="1"/>
  <c r="E12" i="2"/>
  <c r="F12" i="2"/>
  <c r="H12" i="2" s="1"/>
  <c r="E13" i="2"/>
  <c r="F13" i="2"/>
  <c r="H13" i="2" s="1"/>
  <c r="E14" i="2"/>
  <c r="F14" i="2"/>
  <c r="H14" i="2" s="1"/>
  <c r="E15" i="2"/>
  <c r="F15" i="2"/>
  <c r="E16" i="2"/>
  <c r="F16" i="2"/>
  <c r="H16" i="2" s="1"/>
  <c r="E17" i="2"/>
  <c r="F17" i="2"/>
  <c r="E18" i="2"/>
  <c r="F18" i="2"/>
  <c r="E19" i="2"/>
  <c r="F19" i="2"/>
  <c r="H19" i="2" s="1"/>
  <c r="E20" i="2"/>
  <c r="F20" i="2"/>
  <c r="H20" i="2" s="1"/>
  <c r="E21" i="2"/>
  <c r="F21" i="2"/>
  <c r="H21" i="2" s="1"/>
  <c r="E22" i="2"/>
  <c r="F22" i="2"/>
  <c r="H22" i="2" s="1"/>
  <c r="E23" i="2"/>
  <c r="F23" i="2"/>
  <c r="E24" i="2"/>
  <c r="F24" i="2"/>
  <c r="H24" i="2" s="1"/>
  <c r="E25" i="2"/>
  <c r="F25" i="2"/>
  <c r="E26" i="2"/>
  <c r="F26" i="2"/>
  <c r="E27" i="2"/>
  <c r="F27" i="2"/>
  <c r="H27" i="2" s="1"/>
  <c r="E28" i="2"/>
  <c r="F28" i="2"/>
  <c r="H28" i="2" s="1"/>
  <c r="E29" i="2"/>
  <c r="F29" i="2"/>
  <c r="H29" i="2" s="1"/>
  <c r="E30" i="2"/>
  <c r="F30" i="2"/>
  <c r="H30" i="2" s="1"/>
  <c r="E31" i="2"/>
  <c r="F31" i="2"/>
  <c r="E32" i="2"/>
  <c r="F32" i="2"/>
  <c r="H32" i="2" s="1"/>
  <c r="E33" i="2"/>
  <c r="F33" i="2"/>
  <c r="E34" i="2"/>
  <c r="F34" i="2"/>
  <c r="E35" i="2"/>
  <c r="F35" i="2"/>
  <c r="H35" i="2" s="1"/>
  <c r="F5" i="2"/>
  <c r="H5" i="2" s="1"/>
  <c r="E5" i="2"/>
  <c r="G5" i="2" s="1"/>
  <c r="F80" i="3"/>
  <c r="F79" i="3"/>
  <c r="F78" i="3"/>
  <c r="F77" i="3"/>
  <c r="G71" i="3"/>
  <c r="G70" i="3"/>
  <c r="G69" i="3"/>
  <c r="G72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7" i="3"/>
  <c r="G6" i="3"/>
  <c r="G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5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36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5" i="3"/>
  <c r="B20" i="4" l="1"/>
  <c r="C20" i="4"/>
  <c r="D20" i="4" s="1"/>
  <c r="B21" i="4"/>
  <c r="C21" i="4"/>
  <c r="D21" i="4"/>
  <c r="B22" i="4"/>
  <c r="C22" i="4"/>
  <c r="D22" i="4" s="1"/>
  <c r="B23" i="4"/>
  <c r="C23" i="4"/>
  <c r="D23" i="4"/>
  <c r="B24" i="4"/>
  <c r="C24" i="4"/>
  <c r="D24" i="4" s="1"/>
  <c r="B25" i="4"/>
  <c r="D25" i="4" s="1"/>
  <c r="C25" i="4"/>
  <c r="B26" i="4"/>
  <c r="C26" i="4"/>
  <c r="D26" i="4"/>
  <c r="B27" i="4"/>
  <c r="C27" i="4"/>
  <c r="D27" i="4" s="1"/>
  <c r="B28" i="4"/>
  <c r="C28" i="4"/>
  <c r="D28" i="4" s="1"/>
  <c r="B29" i="4"/>
  <c r="C29" i="4"/>
  <c r="D29" i="4"/>
  <c r="B30" i="4"/>
  <c r="C30" i="4"/>
  <c r="D30" i="4" s="1"/>
  <c r="B31" i="4"/>
  <c r="C31" i="4"/>
  <c r="D31" i="4"/>
  <c r="B5" i="4"/>
  <c r="C5" i="4"/>
  <c r="D5" i="4" s="1"/>
  <c r="B6" i="4"/>
  <c r="C6" i="4"/>
  <c r="D6" i="4"/>
  <c r="B7" i="4"/>
  <c r="C7" i="4"/>
  <c r="D7" i="4" s="1"/>
  <c r="B8" i="4"/>
  <c r="C8" i="4"/>
  <c r="D8" i="4" s="1"/>
  <c r="B9" i="4"/>
  <c r="C9" i="4"/>
  <c r="D9" i="4"/>
  <c r="B10" i="4"/>
  <c r="D10" i="4" s="1"/>
  <c r="C10" i="4"/>
  <c r="B11" i="4"/>
  <c r="C11" i="4"/>
  <c r="D11" i="4" s="1"/>
  <c r="B12" i="4"/>
  <c r="C12" i="4"/>
  <c r="D12" i="4"/>
  <c r="B13" i="4"/>
  <c r="C13" i="4"/>
  <c r="D13" i="4"/>
  <c r="B14" i="4"/>
  <c r="C14" i="4"/>
  <c r="D14" i="4"/>
  <c r="B15" i="4"/>
  <c r="C15" i="4"/>
  <c r="D15" i="4" s="1"/>
  <c r="B16" i="4"/>
  <c r="C16" i="4"/>
  <c r="D16" i="4" s="1"/>
  <c r="B17" i="4"/>
  <c r="C17" i="4"/>
  <c r="D17" i="4"/>
  <c r="B18" i="4"/>
  <c r="D18" i="4" s="1"/>
  <c r="C18" i="4"/>
  <c r="B19" i="4"/>
  <c r="C19" i="4"/>
  <c r="D19" i="4" s="1"/>
  <c r="B3" i="4"/>
  <c r="C3" i="4"/>
  <c r="D3" i="4" s="1"/>
  <c r="B4" i="4"/>
  <c r="C4" i="4"/>
  <c r="D4" i="4" s="1"/>
  <c r="D2" i="4"/>
  <c r="C2" i="4"/>
  <c r="B2" i="4"/>
  <c r="C34" i="3" l="1"/>
  <c r="E34" i="3" s="1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M35" i="3"/>
  <c r="M34" i="3"/>
  <c r="M33" i="3"/>
  <c r="P33" i="3" s="1"/>
  <c r="F33" i="3" s="1"/>
  <c r="M32" i="3"/>
  <c r="P32" i="3" s="1"/>
  <c r="M31" i="3"/>
  <c r="P31" i="3" s="1"/>
  <c r="F31" i="3" s="1"/>
  <c r="M30" i="3"/>
  <c r="M29" i="3"/>
  <c r="P29" i="3" s="1"/>
  <c r="M28" i="3"/>
  <c r="P28" i="3" s="1"/>
  <c r="F28" i="3" s="1"/>
  <c r="M27" i="3"/>
  <c r="P27" i="3" s="1"/>
  <c r="M26" i="3"/>
  <c r="M25" i="3"/>
  <c r="P25" i="3" s="1"/>
  <c r="F25" i="3" s="1"/>
  <c r="M24" i="3"/>
  <c r="P24" i="3" s="1"/>
  <c r="M23" i="3"/>
  <c r="P23" i="3" s="1"/>
  <c r="F23" i="3" s="1"/>
  <c r="M22" i="3"/>
  <c r="M21" i="3"/>
  <c r="P21" i="3" s="1"/>
  <c r="M20" i="3"/>
  <c r="P20" i="3" s="1"/>
  <c r="F20" i="3" s="1"/>
  <c r="M19" i="3"/>
  <c r="P19" i="3" s="1"/>
  <c r="M18" i="3"/>
  <c r="M17" i="3"/>
  <c r="P17" i="3" s="1"/>
  <c r="F17" i="3" s="1"/>
  <c r="M16" i="3"/>
  <c r="P16" i="3" s="1"/>
  <c r="M15" i="3"/>
  <c r="P15" i="3" s="1"/>
  <c r="F15" i="3" s="1"/>
  <c r="M14" i="3"/>
  <c r="M13" i="3"/>
  <c r="P13" i="3" s="1"/>
  <c r="M12" i="3"/>
  <c r="P12" i="3" s="1"/>
  <c r="F12" i="3" s="1"/>
  <c r="M11" i="3"/>
  <c r="P11" i="3" s="1"/>
  <c r="M10" i="3"/>
  <c r="P10" i="3" s="1"/>
  <c r="M9" i="3"/>
  <c r="P9" i="3" s="1"/>
  <c r="F9" i="3" s="1"/>
  <c r="M8" i="3"/>
  <c r="M7" i="3"/>
  <c r="P7" i="3" s="1"/>
  <c r="F7" i="3" s="1"/>
  <c r="C7" i="3"/>
  <c r="E7" i="3" s="1"/>
  <c r="M6" i="3"/>
  <c r="C6" i="3"/>
  <c r="E6" i="3" s="1"/>
  <c r="M5" i="3"/>
  <c r="P5" i="3" s="1"/>
  <c r="C5" i="3"/>
  <c r="E5" i="3" s="1"/>
  <c r="I65" i="1"/>
  <c r="H65" i="1"/>
  <c r="G65" i="1"/>
  <c r="N5" i="1"/>
  <c r="I6" i="2"/>
  <c r="K6" i="2" s="1"/>
  <c r="I7" i="2"/>
  <c r="K7" i="2" s="1"/>
  <c r="I8" i="2"/>
  <c r="K8" i="2" s="1"/>
  <c r="I9" i="2"/>
  <c r="K9" i="2" s="1"/>
  <c r="I10" i="2"/>
  <c r="K10" i="2" s="1"/>
  <c r="I11" i="2"/>
  <c r="K11" i="2" s="1"/>
  <c r="I12" i="2"/>
  <c r="K12" i="2" s="1"/>
  <c r="I13" i="2"/>
  <c r="K13" i="2" s="1"/>
  <c r="I14" i="2"/>
  <c r="K14" i="2" s="1"/>
  <c r="I15" i="2"/>
  <c r="K15" i="2" s="1"/>
  <c r="I16" i="2"/>
  <c r="K16" i="2" s="1"/>
  <c r="I17" i="2"/>
  <c r="K17" i="2" s="1"/>
  <c r="I18" i="2"/>
  <c r="K18" i="2" s="1"/>
  <c r="I19" i="2"/>
  <c r="K19" i="2" s="1"/>
  <c r="I20" i="2"/>
  <c r="K20" i="2" s="1"/>
  <c r="I21" i="2"/>
  <c r="K21" i="2" s="1"/>
  <c r="I22" i="2"/>
  <c r="K22" i="2" s="1"/>
  <c r="I23" i="2"/>
  <c r="K23" i="2" s="1"/>
  <c r="I24" i="2"/>
  <c r="K24" i="2" s="1"/>
  <c r="I25" i="2"/>
  <c r="K25" i="2" s="1"/>
  <c r="I26" i="2"/>
  <c r="K26" i="2" s="1"/>
  <c r="I27" i="2"/>
  <c r="K27" i="2" s="1"/>
  <c r="I28" i="2"/>
  <c r="K28" i="2" s="1"/>
  <c r="I29" i="2"/>
  <c r="K29" i="2" s="1"/>
  <c r="I30" i="2"/>
  <c r="K30" i="2" s="1"/>
  <c r="I31" i="2"/>
  <c r="K31" i="2" s="1"/>
  <c r="I32" i="2"/>
  <c r="K32" i="2" s="1"/>
  <c r="I33" i="2"/>
  <c r="K33" i="2" s="1"/>
  <c r="I34" i="2"/>
  <c r="K34" i="2" s="1"/>
  <c r="I35" i="2"/>
  <c r="K35" i="2" s="1"/>
  <c r="I5" i="2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5" i="2" l="1"/>
  <c r="K5" i="2"/>
  <c r="M6" i="2" s="1"/>
  <c r="F81" i="3" s="1"/>
  <c r="C8" i="3"/>
  <c r="E8" i="3" s="1"/>
  <c r="F70" i="3"/>
  <c r="F71" i="3"/>
  <c r="P34" i="3"/>
  <c r="F34" i="3" s="1"/>
  <c r="P30" i="3"/>
  <c r="F30" i="3" s="1"/>
  <c r="P18" i="3"/>
  <c r="F18" i="3" s="1"/>
  <c r="P22" i="3"/>
  <c r="F22" i="3" s="1"/>
  <c r="P14" i="3"/>
  <c r="F14" i="3" s="1"/>
  <c r="P6" i="3"/>
  <c r="F6" i="3" s="1"/>
  <c r="P26" i="3"/>
  <c r="F26" i="3" s="1"/>
  <c r="P35" i="3"/>
  <c r="F35" i="3" s="1"/>
  <c r="P8" i="3"/>
  <c r="F8" i="3" s="1"/>
  <c r="F10" i="3"/>
  <c r="F16" i="3"/>
  <c r="F32" i="3"/>
  <c r="F24" i="3"/>
  <c r="F64" i="3"/>
  <c r="F11" i="3"/>
  <c r="F19" i="3"/>
  <c r="F27" i="3"/>
  <c r="F38" i="3"/>
  <c r="F46" i="3"/>
  <c r="F54" i="3"/>
  <c r="F62" i="3"/>
  <c r="F13" i="3"/>
  <c r="F21" i="3"/>
  <c r="F29" i="3"/>
  <c r="O67" i="1"/>
  <c r="C9" i="3" l="1"/>
  <c r="F59" i="3"/>
  <c r="F63" i="3"/>
  <c r="F40" i="3"/>
  <c r="F51" i="3"/>
  <c r="F41" i="3"/>
  <c r="F55" i="3"/>
  <c r="F65" i="3"/>
  <c r="F60" i="3"/>
  <c r="F39" i="3"/>
  <c r="F61" i="3"/>
  <c r="F52" i="3"/>
  <c r="F43" i="3"/>
  <c r="F47" i="3"/>
  <c r="F58" i="3"/>
  <c r="F53" i="3"/>
  <c r="F56" i="3"/>
  <c r="F57" i="3"/>
  <c r="F44" i="3"/>
  <c r="F50" i="3"/>
  <c r="F45" i="3"/>
  <c r="F49" i="3"/>
  <c r="F48" i="3"/>
  <c r="F36" i="3"/>
  <c r="F42" i="3"/>
  <c r="F37" i="3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5" i="1"/>
  <c r="F72" i="3" l="1"/>
  <c r="C10" i="3"/>
  <c r="E10" i="3" s="1"/>
  <c r="E9" i="3"/>
  <c r="E80" i="3"/>
  <c r="F5" i="3"/>
  <c r="N8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N67" i="1"/>
  <c r="S67" i="1" s="1"/>
  <c r="N6" i="1"/>
  <c r="N7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C11" i="3" l="1"/>
  <c r="J80" i="3"/>
  <c r="K80" i="3" s="1"/>
  <c r="N96" i="1"/>
  <c r="S96" i="1" s="1"/>
  <c r="P96" i="1"/>
  <c r="N87" i="1"/>
  <c r="S87" i="1" s="1"/>
  <c r="P87" i="1"/>
  <c r="N69" i="1"/>
  <c r="S69" i="1" s="1"/>
  <c r="P69" i="1"/>
  <c r="N88" i="1"/>
  <c r="S88" i="1" s="1"/>
  <c r="P88" i="1"/>
  <c r="N95" i="1"/>
  <c r="S95" i="1" s="1"/>
  <c r="P95" i="1"/>
  <c r="N72" i="1"/>
  <c r="S72" i="1" s="1"/>
  <c r="P72" i="1"/>
  <c r="N71" i="1"/>
  <c r="S71" i="1" s="1"/>
  <c r="P71" i="1"/>
  <c r="N94" i="1"/>
  <c r="S94" i="1" s="1"/>
  <c r="P94" i="1"/>
  <c r="N78" i="1"/>
  <c r="S78" i="1" s="1"/>
  <c r="P78" i="1"/>
  <c r="N85" i="1"/>
  <c r="S85" i="1" s="1"/>
  <c r="P85" i="1"/>
  <c r="N84" i="1"/>
  <c r="S84" i="1" s="1"/>
  <c r="P84" i="1"/>
  <c r="N76" i="1"/>
  <c r="S76" i="1" s="1"/>
  <c r="F76" i="1" s="1"/>
  <c r="P76" i="1"/>
  <c r="N91" i="1"/>
  <c r="S91" i="1" s="1"/>
  <c r="P91" i="1"/>
  <c r="N75" i="1"/>
  <c r="S75" i="1" s="1"/>
  <c r="P75" i="1"/>
  <c r="N80" i="1"/>
  <c r="S80" i="1" s="1"/>
  <c r="P80" i="1"/>
  <c r="N79" i="1"/>
  <c r="S79" i="1" s="1"/>
  <c r="P79" i="1"/>
  <c r="N86" i="1"/>
  <c r="S86" i="1" s="1"/>
  <c r="P86" i="1"/>
  <c r="N70" i="1"/>
  <c r="S70" i="1" s="1"/>
  <c r="P70" i="1"/>
  <c r="N93" i="1"/>
  <c r="S93" i="1" s="1"/>
  <c r="F93" i="1" s="1"/>
  <c r="P93" i="1"/>
  <c r="N77" i="1"/>
  <c r="S77" i="1" s="1"/>
  <c r="P77" i="1"/>
  <c r="N92" i="1"/>
  <c r="S92" i="1" s="1"/>
  <c r="P92" i="1"/>
  <c r="N68" i="1"/>
  <c r="P68" i="1"/>
  <c r="N83" i="1"/>
  <c r="S83" i="1" s="1"/>
  <c r="P83" i="1"/>
  <c r="N90" i="1"/>
  <c r="S90" i="1" s="1"/>
  <c r="P90" i="1"/>
  <c r="N82" i="1"/>
  <c r="S82" i="1" s="1"/>
  <c r="P82" i="1"/>
  <c r="N74" i="1"/>
  <c r="S74" i="1" s="1"/>
  <c r="P74" i="1"/>
  <c r="N89" i="1"/>
  <c r="S89" i="1" s="1"/>
  <c r="P89" i="1"/>
  <c r="N81" i="1"/>
  <c r="S81" i="1" s="1"/>
  <c r="P81" i="1"/>
  <c r="N73" i="1"/>
  <c r="S73" i="1" s="1"/>
  <c r="P73" i="1"/>
  <c r="S53" i="1"/>
  <c r="S68" i="1"/>
  <c r="S60" i="1"/>
  <c r="S52" i="1"/>
  <c r="S59" i="1"/>
  <c r="S51" i="1"/>
  <c r="S66" i="1"/>
  <c r="S58" i="1"/>
  <c r="S61" i="1"/>
  <c r="S65" i="1"/>
  <c r="S57" i="1"/>
  <c r="S64" i="1"/>
  <c r="S56" i="1"/>
  <c r="S63" i="1"/>
  <c r="S55" i="1"/>
  <c r="S62" i="1"/>
  <c r="S54" i="1"/>
  <c r="C12" i="3" l="1"/>
  <c r="E12" i="3" s="1"/>
  <c r="E11" i="3"/>
  <c r="M80" i="3"/>
  <c r="N80" i="3" s="1"/>
  <c r="F101" i="1"/>
  <c r="F100" i="1"/>
  <c r="F105" i="1"/>
  <c r="B67" i="1"/>
  <c r="C13" i="3" l="1"/>
  <c r="C66" i="1"/>
  <c r="C14" i="3" l="1"/>
  <c r="E14" i="3" s="1"/>
  <c r="E13" i="3"/>
  <c r="C67" i="1"/>
  <c r="G6" i="2"/>
  <c r="J6" i="2" s="1"/>
  <c r="G7" i="2"/>
  <c r="J7" i="2" s="1"/>
  <c r="G8" i="2"/>
  <c r="J8" i="2" s="1"/>
  <c r="G9" i="2"/>
  <c r="J9" i="2" s="1"/>
  <c r="G10" i="2"/>
  <c r="J10" i="2" s="1"/>
  <c r="G11" i="2"/>
  <c r="J11" i="2" s="1"/>
  <c r="G12" i="2"/>
  <c r="J12" i="2" s="1"/>
  <c r="G13" i="2"/>
  <c r="J13" i="2" s="1"/>
  <c r="G14" i="2"/>
  <c r="J14" i="2" s="1"/>
  <c r="G15" i="2"/>
  <c r="J15" i="2" s="1"/>
  <c r="G16" i="2"/>
  <c r="J16" i="2" s="1"/>
  <c r="G17" i="2"/>
  <c r="J17" i="2" s="1"/>
  <c r="G18" i="2"/>
  <c r="J18" i="2" s="1"/>
  <c r="G19" i="2"/>
  <c r="J19" i="2" s="1"/>
  <c r="G20" i="2"/>
  <c r="J20" i="2" s="1"/>
  <c r="G21" i="2"/>
  <c r="J21" i="2" s="1"/>
  <c r="G22" i="2"/>
  <c r="J22" i="2" s="1"/>
  <c r="G23" i="2"/>
  <c r="J23" i="2" s="1"/>
  <c r="G24" i="2"/>
  <c r="J24" i="2" s="1"/>
  <c r="G25" i="2"/>
  <c r="J25" i="2" s="1"/>
  <c r="G26" i="2"/>
  <c r="J26" i="2" s="1"/>
  <c r="G27" i="2"/>
  <c r="J27" i="2" s="1"/>
  <c r="G28" i="2"/>
  <c r="J28" i="2" s="1"/>
  <c r="G29" i="2"/>
  <c r="J29" i="2" s="1"/>
  <c r="G30" i="2"/>
  <c r="J30" i="2" s="1"/>
  <c r="G31" i="2"/>
  <c r="J31" i="2" s="1"/>
  <c r="G32" i="2"/>
  <c r="J32" i="2" s="1"/>
  <c r="G33" i="2"/>
  <c r="J33" i="2" s="1"/>
  <c r="G34" i="2"/>
  <c r="J34" i="2" s="1"/>
  <c r="G35" i="2"/>
  <c r="J35" i="2" s="1"/>
  <c r="J5" i="2"/>
  <c r="L5" i="2" l="1"/>
  <c r="L6" i="2"/>
  <c r="E81" i="3" s="1"/>
  <c r="C15" i="3"/>
  <c r="E118" i="1"/>
  <c r="S5" i="1"/>
  <c r="F5" i="1" s="1"/>
  <c r="S7" i="1"/>
  <c r="F7" i="1" s="1"/>
  <c r="S8" i="1"/>
  <c r="F8" i="1" s="1"/>
  <c r="S9" i="1"/>
  <c r="F9" i="1" s="1"/>
  <c r="S10" i="1"/>
  <c r="F10" i="1" s="1"/>
  <c r="S11" i="1"/>
  <c r="F11" i="1" s="1"/>
  <c r="S12" i="1"/>
  <c r="F12" i="1" s="1"/>
  <c r="S13" i="1"/>
  <c r="F13" i="1" s="1"/>
  <c r="S14" i="1"/>
  <c r="F14" i="1" s="1"/>
  <c r="S15" i="1"/>
  <c r="S17" i="1"/>
  <c r="F17" i="1" s="1"/>
  <c r="S18" i="1"/>
  <c r="F18" i="1" s="1"/>
  <c r="S19" i="1"/>
  <c r="F19" i="1" s="1"/>
  <c r="S20" i="1"/>
  <c r="F20" i="1" s="1"/>
  <c r="S21" i="1"/>
  <c r="F21" i="1" s="1"/>
  <c r="S22" i="1"/>
  <c r="F22" i="1" s="1"/>
  <c r="S23" i="1"/>
  <c r="F23" i="1" s="1"/>
  <c r="S24" i="1"/>
  <c r="F24" i="1" s="1"/>
  <c r="S25" i="1"/>
  <c r="F25" i="1" s="1"/>
  <c r="S27" i="1"/>
  <c r="F27" i="1" s="1"/>
  <c r="S28" i="1"/>
  <c r="F28" i="1" s="1"/>
  <c r="S29" i="1"/>
  <c r="F29" i="1" s="1"/>
  <c r="S30" i="1"/>
  <c r="F30" i="1" s="1"/>
  <c r="S31" i="1"/>
  <c r="F31" i="1" s="1"/>
  <c r="S32" i="1"/>
  <c r="F32" i="1" s="1"/>
  <c r="S33" i="1"/>
  <c r="F33" i="1" s="1"/>
  <c r="S34" i="1"/>
  <c r="F34" i="1" s="1"/>
  <c r="S35" i="1"/>
  <c r="F35" i="1" s="1"/>
  <c r="S37" i="1"/>
  <c r="F37" i="1" s="1"/>
  <c r="S38" i="1"/>
  <c r="F38" i="1" s="1"/>
  <c r="S39" i="1"/>
  <c r="F39" i="1" s="1"/>
  <c r="S40" i="1"/>
  <c r="F40" i="1" s="1"/>
  <c r="S41" i="1"/>
  <c r="F41" i="1" s="1"/>
  <c r="S42" i="1"/>
  <c r="F42" i="1" s="1"/>
  <c r="S43" i="1"/>
  <c r="F43" i="1" s="1"/>
  <c r="S44" i="1"/>
  <c r="F44" i="1" s="1"/>
  <c r="S45" i="1"/>
  <c r="F45" i="1" s="1"/>
  <c r="S47" i="1"/>
  <c r="F47" i="1" s="1"/>
  <c r="S48" i="1"/>
  <c r="F48" i="1" s="1"/>
  <c r="S49" i="1"/>
  <c r="F49" i="1" s="1"/>
  <c r="S50" i="1"/>
  <c r="F51" i="1"/>
  <c r="F67" i="1"/>
  <c r="F68" i="1"/>
  <c r="F69" i="1"/>
  <c r="F70" i="1"/>
  <c r="F71" i="1"/>
  <c r="F72" i="1"/>
  <c r="F73" i="1"/>
  <c r="F74" i="1"/>
  <c r="F75" i="1"/>
  <c r="F77" i="1"/>
  <c r="F78" i="1"/>
  <c r="F79" i="1"/>
  <c r="F80" i="1"/>
  <c r="F81" i="1"/>
  <c r="F82" i="1"/>
  <c r="F83" i="1"/>
  <c r="F84" i="1"/>
  <c r="F86" i="1"/>
  <c r="F87" i="1"/>
  <c r="F88" i="1"/>
  <c r="F89" i="1"/>
  <c r="F90" i="1"/>
  <c r="F91" i="1"/>
  <c r="F92" i="1"/>
  <c r="F94" i="1"/>
  <c r="F95" i="1"/>
  <c r="F96" i="1"/>
  <c r="F85" i="1"/>
  <c r="E67" i="1"/>
  <c r="F65" i="1"/>
  <c r="C65" i="1"/>
  <c r="F64" i="1"/>
  <c r="C64" i="1"/>
  <c r="F63" i="1"/>
  <c r="C63" i="1"/>
  <c r="F62" i="1"/>
  <c r="C62" i="1"/>
  <c r="F61" i="1"/>
  <c r="C61" i="1"/>
  <c r="F60" i="1"/>
  <c r="C60" i="1"/>
  <c r="E60" i="1" s="1"/>
  <c r="F59" i="1"/>
  <c r="C59" i="1"/>
  <c r="E59" i="1" s="1"/>
  <c r="F58" i="1"/>
  <c r="C58" i="1"/>
  <c r="E58" i="1" s="1"/>
  <c r="F57" i="1"/>
  <c r="C57" i="1"/>
  <c r="E57" i="1" s="1"/>
  <c r="F56" i="1"/>
  <c r="C56" i="1"/>
  <c r="F55" i="1"/>
  <c r="C55" i="1"/>
  <c r="E55" i="1" s="1"/>
  <c r="F54" i="1"/>
  <c r="C54" i="1"/>
  <c r="E54" i="1" s="1"/>
  <c r="F53" i="1"/>
  <c r="C53" i="1"/>
  <c r="E53" i="1" s="1"/>
  <c r="F52" i="1"/>
  <c r="C52" i="1"/>
  <c r="E52" i="1" s="1"/>
  <c r="C51" i="1"/>
  <c r="E51" i="1" s="1"/>
  <c r="F50" i="1"/>
  <c r="C50" i="1"/>
  <c r="E50" i="1" s="1"/>
  <c r="C49" i="1"/>
  <c r="E49" i="1" s="1"/>
  <c r="C48" i="1"/>
  <c r="E48" i="1" s="1"/>
  <c r="C47" i="1"/>
  <c r="E47" i="1" s="1"/>
  <c r="C46" i="1"/>
  <c r="C45" i="1"/>
  <c r="E45" i="1" s="1"/>
  <c r="C44" i="1"/>
  <c r="E44" i="1" s="1"/>
  <c r="C43" i="1"/>
  <c r="E43" i="1" s="1"/>
  <c r="C42" i="1"/>
  <c r="E42" i="1" s="1"/>
  <c r="C41" i="1"/>
  <c r="E41" i="1" s="1"/>
  <c r="C40" i="1"/>
  <c r="E40" i="1" s="1"/>
  <c r="C39" i="1"/>
  <c r="E39" i="1" s="1"/>
  <c r="C38" i="1"/>
  <c r="E38" i="1" s="1"/>
  <c r="C37" i="1"/>
  <c r="E37" i="1" s="1"/>
  <c r="C36" i="1"/>
  <c r="C35" i="1"/>
  <c r="E35" i="1" s="1"/>
  <c r="C34" i="1"/>
  <c r="E34" i="1" s="1"/>
  <c r="C33" i="1"/>
  <c r="E33" i="1" s="1"/>
  <c r="C32" i="1"/>
  <c r="E32" i="1" s="1"/>
  <c r="C31" i="1"/>
  <c r="E31" i="1" s="1"/>
  <c r="C30" i="1"/>
  <c r="E30" i="1" s="1"/>
  <c r="C29" i="1"/>
  <c r="E29" i="1" s="1"/>
  <c r="C28" i="1"/>
  <c r="E28" i="1" s="1"/>
  <c r="C27" i="1"/>
  <c r="E27" i="1" s="1"/>
  <c r="C26" i="1"/>
  <c r="C25" i="1"/>
  <c r="E25" i="1" s="1"/>
  <c r="C24" i="1"/>
  <c r="E24" i="1" s="1"/>
  <c r="C23" i="1"/>
  <c r="E23" i="1" s="1"/>
  <c r="C22" i="1"/>
  <c r="E22" i="1" s="1"/>
  <c r="C21" i="1"/>
  <c r="E21" i="1" s="1"/>
  <c r="C20" i="1"/>
  <c r="E20" i="1" s="1"/>
  <c r="C19" i="1"/>
  <c r="E19" i="1" s="1"/>
  <c r="C18" i="1"/>
  <c r="E18" i="1" s="1"/>
  <c r="C17" i="1"/>
  <c r="E17" i="1" s="1"/>
  <c r="C16" i="1"/>
  <c r="F15" i="1"/>
  <c r="C15" i="1"/>
  <c r="E15" i="1" s="1"/>
  <c r="C14" i="1"/>
  <c r="E14" i="1" s="1"/>
  <c r="C13" i="1"/>
  <c r="E13" i="1" s="1"/>
  <c r="C12" i="1"/>
  <c r="E12" i="1" s="1"/>
  <c r="C11" i="1"/>
  <c r="E11" i="1" s="1"/>
  <c r="C10" i="1"/>
  <c r="E10" i="1" s="1"/>
  <c r="C9" i="1"/>
  <c r="E9" i="1" s="1"/>
  <c r="C8" i="1"/>
  <c r="E8" i="1" s="1"/>
  <c r="C7" i="1"/>
  <c r="E7" i="1" s="1"/>
  <c r="C6" i="1"/>
  <c r="C5" i="1"/>
  <c r="J81" i="3" l="1"/>
  <c r="K81" i="3" s="1"/>
  <c r="M81" i="3" s="1"/>
  <c r="N81" i="3" s="1"/>
  <c r="E15" i="3"/>
  <c r="C16" i="3"/>
  <c r="E16" i="3" s="1"/>
  <c r="E6" i="1"/>
  <c r="C100" i="1"/>
  <c r="E117" i="1"/>
  <c r="J117" i="1" s="1"/>
  <c r="J118" i="1"/>
  <c r="K118" i="1" s="1"/>
  <c r="E5" i="1"/>
  <c r="E63" i="1"/>
  <c r="C103" i="1"/>
  <c r="F104" i="1"/>
  <c r="S46" i="1"/>
  <c r="F46" i="1" s="1"/>
  <c r="S6" i="1"/>
  <c r="F6" i="1" s="1"/>
  <c r="E65" i="1"/>
  <c r="E61" i="1"/>
  <c r="E64" i="1"/>
  <c r="F103" i="1"/>
  <c r="S36" i="1"/>
  <c r="F36" i="1" s="1"/>
  <c r="S16" i="1"/>
  <c r="F16" i="1" s="1"/>
  <c r="E62" i="1"/>
  <c r="F102" i="1"/>
  <c r="S26" i="1"/>
  <c r="F26" i="1" s="1"/>
  <c r="C102" i="1"/>
  <c r="C101" i="1"/>
  <c r="E16" i="1"/>
  <c r="C104" i="1"/>
  <c r="E66" i="1"/>
  <c r="E36" i="1"/>
  <c r="C105" i="1"/>
  <c r="E116" i="1" s="1"/>
  <c r="J116" i="1" s="1"/>
  <c r="E56" i="1"/>
  <c r="E26" i="1"/>
  <c r="E46" i="1"/>
  <c r="F66" i="1"/>
  <c r="C17" i="3" l="1"/>
  <c r="E17" i="3" s="1"/>
  <c r="M118" i="1"/>
  <c r="N118" i="1" s="1"/>
  <c r="E114" i="1"/>
  <c r="J114" i="1" s="1"/>
  <c r="E115" i="1"/>
  <c r="J115" i="1" s="1"/>
  <c r="E112" i="1"/>
  <c r="E113" i="1"/>
  <c r="J113" i="1" s="1"/>
  <c r="E111" i="1"/>
  <c r="J111" i="1" s="1"/>
  <c r="C18" i="3" l="1"/>
  <c r="K113" i="1"/>
  <c r="K115" i="1"/>
  <c r="J112" i="1"/>
  <c r="K112" i="1" s="1"/>
  <c r="K114" i="1"/>
  <c r="K116" i="1"/>
  <c r="K111" i="1"/>
  <c r="E18" i="3" l="1"/>
  <c r="C19" i="3"/>
  <c r="E19" i="3" s="1"/>
  <c r="M113" i="1"/>
  <c r="N113" i="1" s="1"/>
  <c r="M115" i="1"/>
  <c r="N115" i="1" s="1"/>
  <c r="M116" i="1"/>
  <c r="N116" i="1" s="1"/>
  <c r="M114" i="1"/>
  <c r="N114" i="1" s="1"/>
  <c r="K117" i="1"/>
  <c r="C20" i="3" l="1"/>
  <c r="E20" i="3" s="1"/>
  <c r="M117" i="1"/>
  <c r="N117" i="1" l="1"/>
  <c r="D11" i="6"/>
  <c r="D16" i="6"/>
  <c r="D13" i="6"/>
  <c r="D18" i="6"/>
  <c r="D20" i="6"/>
  <c r="D22" i="6"/>
  <c r="D24" i="6"/>
  <c r="D26" i="6"/>
  <c r="D28" i="6"/>
  <c r="D36" i="6"/>
  <c r="D9" i="6"/>
  <c r="D31" i="6"/>
  <c r="D34" i="6"/>
  <c r="D29" i="6"/>
  <c r="D37" i="6"/>
  <c r="D19" i="6"/>
  <c r="D21" i="6"/>
  <c r="D23" i="6"/>
  <c r="D25" i="6"/>
  <c r="D27" i="6"/>
  <c r="D32" i="6"/>
  <c r="D35" i="6"/>
  <c r="D30" i="6"/>
  <c r="D38" i="6"/>
  <c r="D33" i="6"/>
  <c r="D10" i="6"/>
  <c r="D15" i="6"/>
  <c r="D12" i="6"/>
  <c r="D17" i="6"/>
  <c r="D14" i="6"/>
  <c r="C21" i="3"/>
  <c r="C22" i="3" l="1"/>
  <c r="E22" i="3" s="1"/>
  <c r="E21" i="3"/>
  <c r="C23" i="3" l="1"/>
  <c r="E23" i="3" s="1"/>
  <c r="C24" i="3" l="1"/>
  <c r="E24" i="3" s="1"/>
  <c r="C25" i="3" l="1"/>
  <c r="C26" i="3" l="1"/>
  <c r="E26" i="3" s="1"/>
  <c r="E25" i="3"/>
  <c r="C27" i="3" l="1"/>
  <c r="C28" i="3" l="1"/>
  <c r="E28" i="3" s="1"/>
  <c r="E27" i="3"/>
  <c r="C29" i="3" l="1"/>
  <c r="C30" i="3" l="1"/>
  <c r="E30" i="3" s="1"/>
  <c r="E29" i="3"/>
  <c r="C31" i="3" l="1"/>
  <c r="E31" i="3" l="1"/>
  <c r="C33" i="3"/>
  <c r="C32" i="3"/>
  <c r="E32" i="3" s="1"/>
  <c r="E33" i="3" l="1"/>
  <c r="C69" i="3"/>
  <c r="E77" i="3" s="1"/>
  <c r="J77" i="3" s="1"/>
  <c r="K77" i="3" s="1"/>
  <c r="M77" i="3" s="1"/>
  <c r="N77" i="3" s="1"/>
  <c r="C70" i="3"/>
  <c r="E78" i="3" s="1"/>
  <c r="J78" i="3" s="1"/>
  <c r="C71" i="3"/>
  <c r="E79" i="3" s="1"/>
  <c r="J79" i="3" s="1"/>
  <c r="K79" i="3" l="1"/>
  <c r="M79" i="3" s="1"/>
  <c r="N79" i="3" s="1"/>
  <c r="K78" i="3"/>
  <c r="M78" i="3" s="1"/>
  <c r="N78" i="3" s="1"/>
  <c r="U33" i="8" l="1"/>
  <c r="C9" i="8"/>
  <c r="E9" i="8" s="1"/>
  <c r="C18" i="8"/>
  <c r="E18" i="8" s="1"/>
  <c r="C22" i="8"/>
  <c r="E22" i="8" s="1"/>
  <c r="C16" i="8"/>
  <c r="E16" i="8" s="1"/>
  <c r="C6" i="8"/>
  <c r="E6" i="8" s="1"/>
  <c r="C27" i="8"/>
  <c r="E27" i="8" s="1"/>
  <c r="C7" i="8"/>
  <c r="E7" i="8" s="1"/>
  <c r="C31" i="8"/>
  <c r="C12" i="8"/>
  <c r="E12" i="8" s="1"/>
  <c r="C29" i="8"/>
  <c r="E29" i="8" s="1"/>
  <c r="C17" i="8"/>
  <c r="E17" i="8" s="1"/>
  <c r="C14" i="8"/>
  <c r="E14" i="8" s="1"/>
  <c r="C19" i="8"/>
  <c r="E19" i="8" s="1"/>
  <c r="C28" i="8"/>
  <c r="E28" i="8" s="1"/>
  <c r="C20" i="8"/>
  <c r="E20" i="8" s="1"/>
  <c r="C8" i="8"/>
  <c r="E8" i="8" s="1"/>
  <c r="C11" i="8"/>
  <c r="E11" i="8" s="1"/>
  <c r="C5" i="8"/>
  <c r="C26" i="8"/>
  <c r="E26" i="8" s="1"/>
  <c r="C21" i="8"/>
  <c r="E21" i="8" s="1"/>
  <c r="C15" i="8"/>
  <c r="C34" i="8"/>
  <c r="J88" i="8" s="1"/>
  <c r="C24" i="8"/>
  <c r="E24" i="8" s="1"/>
  <c r="C10" i="8"/>
  <c r="E10" i="8" s="1"/>
  <c r="C13" i="8"/>
  <c r="E13" i="8" s="1"/>
  <c r="C23" i="8"/>
  <c r="E23" i="8" s="1"/>
  <c r="C30" i="8"/>
  <c r="C25" i="8"/>
  <c r="C32" i="8"/>
  <c r="C33" i="8"/>
  <c r="E85" i="8" l="1"/>
  <c r="E86" i="8"/>
  <c r="E87" i="8"/>
  <c r="U34" i="8"/>
  <c r="J89" i="8"/>
  <c r="K89" i="8" s="1"/>
  <c r="U39" i="8" s="1"/>
  <c r="K88" i="8"/>
  <c r="U38" i="8" s="1"/>
  <c r="E30" i="8"/>
  <c r="B2" i="9"/>
  <c r="E5" i="8"/>
  <c r="C69" i="8"/>
  <c r="E31" i="8"/>
  <c r="B3" i="9"/>
  <c r="E33" i="8"/>
  <c r="B5" i="9"/>
  <c r="J81" i="8"/>
  <c r="K81" i="8" s="1"/>
  <c r="U29" i="8" s="1"/>
  <c r="E34" i="8"/>
  <c r="B6" i="9"/>
  <c r="J80" i="8"/>
  <c r="K80" i="8" s="1"/>
  <c r="E32" i="8"/>
  <c r="B4" i="9"/>
  <c r="E15" i="8"/>
  <c r="C70" i="8"/>
  <c r="E25" i="8"/>
  <c r="C71" i="8"/>
  <c r="U31" i="8" l="1"/>
  <c r="J86" i="8"/>
  <c r="U32" i="8"/>
  <c r="J87" i="8"/>
  <c r="U30" i="8"/>
  <c r="J85" i="8"/>
  <c r="M81" i="8"/>
  <c r="N81" i="8" s="1"/>
  <c r="M80" i="8"/>
  <c r="N80" i="8" s="1"/>
  <c r="U28" i="8"/>
  <c r="E79" i="8"/>
  <c r="F79" i="8"/>
  <c r="E77" i="8"/>
  <c r="F77" i="8"/>
  <c r="E78" i="8"/>
  <c r="F78" i="8"/>
  <c r="C6" i="9"/>
  <c r="D6" i="9"/>
  <c r="G6" i="9"/>
  <c r="F6" i="9"/>
  <c r="E6" i="9"/>
  <c r="K87" i="8" l="1"/>
  <c r="U37" i="8" s="1"/>
  <c r="K86" i="8"/>
  <c r="U36" i="8" s="1"/>
  <c r="J77" i="8"/>
  <c r="K77" i="8" s="1"/>
  <c r="C12" i="9"/>
  <c r="C10" i="9"/>
  <c r="C7" i="9"/>
  <c r="C14" i="9"/>
  <c r="C8" i="9"/>
  <c r="C9" i="9"/>
  <c r="C13" i="9"/>
  <c r="C11" i="9"/>
  <c r="U21" i="8"/>
  <c r="J78" i="8"/>
  <c r="K78" i="8" s="1"/>
  <c r="D27" i="9"/>
  <c r="D11" i="9"/>
  <c r="D21" i="9"/>
  <c r="D31" i="9"/>
  <c r="D29" i="9"/>
  <c r="D28" i="9"/>
  <c r="D20" i="9"/>
  <c r="D14" i="9"/>
  <c r="D13" i="9"/>
  <c r="D19" i="9"/>
  <c r="D7" i="9"/>
  <c r="D17" i="9"/>
  <c r="D12" i="9"/>
  <c r="D23" i="9"/>
  <c r="D15" i="9"/>
  <c r="D16" i="9"/>
  <c r="D22" i="9"/>
  <c r="D10" i="9"/>
  <c r="D24" i="9"/>
  <c r="D8" i="9"/>
  <c r="D26" i="9"/>
  <c r="D9" i="9"/>
  <c r="D30" i="9"/>
  <c r="D18" i="9"/>
  <c r="D25" i="9"/>
  <c r="D32" i="9"/>
  <c r="U20" i="8"/>
  <c r="U22" i="8"/>
  <c r="J79" i="8"/>
  <c r="K79" i="8" s="1"/>
  <c r="K85" i="8" l="1"/>
  <c r="U35" i="8" s="1"/>
  <c r="M77" i="8"/>
  <c r="N77" i="8" s="1"/>
  <c r="U25" i="8"/>
  <c r="M78" i="8"/>
  <c r="F12" i="9" s="1"/>
  <c r="U26" i="8"/>
  <c r="M79" i="8"/>
  <c r="N79" i="8" s="1"/>
  <c r="U27" i="8"/>
  <c r="E9" i="9" l="1"/>
  <c r="G7" i="9"/>
  <c r="E8" i="9"/>
  <c r="G24" i="9"/>
  <c r="F14" i="9"/>
  <c r="E7" i="9"/>
  <c r="G11" i="9"/>
  <c r="F17" i="9"/>
  <c r="G26" i="9"/>
  <c r="G17" i="9"/>
  <c r="G28" i="9"/>
  <c r="G13" i="9"/>
  <c r="G21" i="9"/>
  <c r="G29" i="9"/>
  <c r="N78" i="8"/>
  <c r="F16" i="9"/>
  <c r="F7" i="9"/>
  <c r="F13" i="9"/>
  <c r="F15" i="9"/>
  <c r="F8" i="9"/>
  <c r="F20" i="9"/>
  <c r="F10" i="9"/>
  <c r="F18" i="9"/>
  <c r="F9" i="9"/>
  <c r="G18" i="9"/>
  <c r="G20" i="9"/>
  <c r="G9" i="9"/>
  <c r="F19" i="9"/>
  <c r="G16" i="9"/>
  <c r="G8" i="9"/>
  <c r="G27" i="9"/>
  <c r="G10" i="9"/>
  <c r="G23" i="9"/>
  <c r="G25" i="9"/>
  <c r="G15" i="9"/>
  <c r="G19" i="9"/>
  <c r="G12" i="9"/>
  <c r="G22" i="9"/>
  <c r="G14" i="9"/>
  <c r="F11" i="9"/>
</calcChain>
</file>

<file path=xl/sharedStrings.xml><?xml version="1.0" encoding="utf-8"?>
<sst xmlns="http://schemas.openxmlformats.org/spreadsheetml/2006/main" count="258" uniqueCount="96">
  <si>
    <t>Population</t>
  </si>
  <si>
    <t>Inget historiskt ansvar - lika per capita utsläpp per år</t>
  </si>
  <si>
    <t>Ekonomisk kapacitet</t>
  </si>
  <si>
    <t>Population SSP2</t>
  </si>
  <si>
    <t>1000 USD</t>
  </si>
  <si>
    <t>1970-2021</t>
  </si>
  <si>
    <t>1980-2021</t>
  </si>
  <si>
    <t>1990-2021</t>
  </si>
  <si>
    <t>2000-2021</t>
  </si>
  <si>
    <t>2010-2021</t>
  </si>
  <si>
    <t>Bunkers (%) of total</t>
  </si>
  <si>
    <t>MtC</t>
  </si>
  <si>
    <t>MtCO2</t>
  </si>
  <si>
    <t>tCO2/capita</t>
  </si>
  <si>
    <t>millions</t>
  </si>
  <si>
    <t>1960-2021</t>
  </si>
  <si>
    <t>Internation bunkers</t>
  </si>
  <si>
    <t>Scenario per capita</t>
  </si>
  <si>
    <t>Emissions</t>
  </si>
  <si>
    <t>Scenario (World incl. LUC)</t>
  </si>
  <si>
    <t>Scenario minus bunkers</t>
  </si>
  <si>
    <t>Territorial emissions
Sweden fossil (excl. LUC)</t>
  </si>
  <si>
    <t>Historic fossil
emissions</t>
  </si>
  <si>
    <t>Historic LUC 
emissions</t>
  </si>
  <si>
    <t>Global Carbon Budget 2021
Friedlingstein, et al., 2021</t>
  </si>
  <si>
    <t>1960-2050</t>
  </si>
  <si>
    <t>1970-2050</t>
  </si>
  <si>
    <t>1980-2050</t>
  </si>
  <si>
    <t>1990-2050</t>
  </si>
  <si>
    <t>2000-2050</t>
  </si>
  <si>
    <t>2010-2050</t>
  </si>
  <si>
    <t>2022-2050</t>
  </si>
  <si>
    <t>Statistics Sweden 
Population Projections</t>
  </si>
  <si>
    <t>Allocation per capita givet 
DeepElec_SSP2_ HighRE_Budg900</t>
  </si>
  <si>
    <t>Historic Emissions</t>
  </si>
  <si>
    <t>Historic responsibility</t>
  </si>
  <si>
    <t>Budget for whole period</t>
  </si>
  <si>
    <t>Start year 
historic responsibility</t>
  </si>
  <si>
    <t>Budget 
2022-2050</t>
  </si>
  <si>
    <t>Linear reduction rate</t>
  </si>
  <si>
    <t>Number of years
until net-zero</t>
  </si>
  <si>
    <t>Year for net-zero</t>
  </si>
  <si>
    <t>Linear reduction</t>
  </si>
  <si>
    <t>Exponential reduction rate</t>
  </si>
  <si>
    <t>SSP Database - Version 2.0
Data for SSP2</t>
  </si>
  <si>
    <t>IAMC AR6 Scenario Explorer
Model: REMIND-MAgPIE 2.1-4.3 
Scenario: DeepElec_SSP2_ HighRE_Budg900</t>
  </si>
  <si>
    <t>Population
Sweden</t>
  </si>
  <si>
    <t>Total Emissions for Sweden
Economic capacity</t>
  </si>
  <si>
    <t>ton CO2/cap</t>
  </si>
  <si>
    <t>GDP/cap PPP</t>
  </si>
  <si>
    <t>Gross Domestic Product
Sweden</t>
  </si>
  <si>
    <t>Gross Domestic Product
World</t>
  </si>
  <si>
    <t>Cumulatve emissions for Sweden 2022-2050 according to economic capacity</t>
  </si>
  <si>
    <t>GtC</t>
  </si>
  <si>
    <t>2020-2050</t>
  </si>
  <si>
    <t>Swedish territorial emissions</t>
  </si>
  <si>
    <t>Swedish consumption-based emissions</t>
  </si>
  <si>
    <t>Net-imports for consumption in Sweden</t>
  </si>
  <si>
    <t>1.5C Scenario (World incl. LUC)</t>
  </si>
  <si>
    <t>2C Scenario (World incl. LUC)</t>
  </si>
  <si>
    <t>IAMC AR6 Scenario Explorer
1.5C - Model: REMIND-MAgPIE 2.1-4.3 Scenario: DeepElec_SSP2_ HighRE_Budg900
2C - Model: WITCH 5.0 Scenario: CO_Bridge</t>
  </si>
  <si>
    <t>Model</t>
  </si>
  <si>
    <t>Scenario</t>
  </si>
  <si>
    <t>Region</t>
  </si>
  <si>
    <t>Variable</t>
  </si>
  <si>
    <t>Unit</t>
  </si>
  <si>
    <t>REMIND-MAgPIE 2.1-4.3</t>
  </si>
  <si>
    <t>DeepElec_SSP2_ HighRE_Budg900</t>
  </si>
  <si>
    <t>World</t>
  </si>
  <si>
    <t>Emissions|CO2</t>
  </si>
  <si>
    <t>Mt CO2/yr</t>
  </si>
  <si>
    <t>WITCH 5.0</t>
  </si>
  <si>
    <t>CO_Bridge</t>
  </si>
  <si>
    <t>1.5C Scenario per capita</t>
  </si>
  <si>
    <t>2C Scenario per capita</t>
  </si>
  <si>
    <t>Allocation per capita givet
2C Scenario</t>
  </si>
  <si>
    <t>Allocation per capita givet 
1.5C Scenario</t>
  </si>
  <si>
    <t>1.5C Budget 
2020-2050</t>
  </si>
  <si>
    <t>2C Budget 
2020-2050</t>
  </si>
  <si>
    <t>1.5C</t>
  </si>
  <si>
    <t>2C</t>
  </si>
  <si>
    <t>Emissions per capita (1.5C)
World</t>
  </si>
  <si>
    <t>Emissions per capita (2C)
World</t>
  </si>
  <si>
    <t>Emissions per capita
Sweden - Economic capacity (1.5C)</t>
  </si>
  <si>
    <t>Emissions per capita
Sweden - Economic capacity (2C)</t>
  </si>
  <si>
    <t>Year</t>
  </si>
  <si>
    <t>Historic emissions</t>
  </si>
  <si>
    <t>Economic capacity for transition</t>
  </si>
  <si>
    <t>Equal emissions per capita and year</t>
  </si>
  <si>
    <t>Consumption-based emissions
Sweden fossil (excl. LUC)</t>
  </si>
  <si>
    <t>Mainly consumer responsibility</t>
  </si>
  <si>
    <t>Mainly producer responsibility</t>
  </si>
  <si>
    <t>Budget</t>
  </si>
  <si>
    <t>Netto-noll</t>
  </si>
  <si>
    <t>Budget terr net-zero</t>
  </si>
  <si>
    <t>Historic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</si>
</sst>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9"/>
      <name val="Helv"/>
    </font>
    <font>
      <sz val="9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4" fillId="0" borderId="0"/>
    <xf numFmtId="0" fontId="8" fillId="0" borderId="0"/>
    <xf numFmtId="0" fontId="9" fillId="0" borderId="0" applyNumberFormat="0" applyFill="0" applyBorder="0" applyAlignment="0" applyProtection="0"/>
  </cellStyleXfs>
  <cellXfs count="58">
    <xf numFmtId="0" fontId="0" fillId="0" borderId="0" xfId="0"/>
    <xf numFmtId="0" fontId="2" fillId="0" borderId="1" xfId="2" applyBorder="1"/>
    <xf numFmtId="0" fontId="2" fillId="0" borderId="0" xfId="2"/>
    <xf numFmtId="0" fontId="3" fillId="0" borderId="0" xfId="2" applyFont="1" applyAlignment="1">
      <alignment horizontal="right"/>
    </xf>
    <xf numFmtId="1" fontId="0" fillId="0" borderId="0" xfId="0" applyNumberFormat="1"/>
    <xf numFmtId="0" fontId="6" fillId="0" borderId="0" xfId="0" applyFont="1"/>
    <xf numFmtId="164" fontId="0" fillId="0" borderId="0" xfId="1" applyNumberFormat="1" applyFont="1"/>
    <xf numFmtId="9" fontId="0" fillId="0" borderId="0" xfId="1" applyFont="1"/>
    <xf numFmtId="0" fontId="0" fillId="2" borderId="0" xfId="0" applyFill="1"/>
    <xf numFmtId="1" fontId="0" fillId="2" borderId="0" xfId="1" applyNumberFormat="1" applyFont="1" applyFill="1"/>
    <xf numFmtId="1" fontId="8" fillId="0" borderId="0" xfId="4" applyNumberFormat="1"/>
    <xf numFmtId="2" fontId="8" fillId="0" borderId="0" xfId="4" applyNumberFormat="1"/>
    <xf numFmtId="2" fontId="0" fillId="0" borderId="0" xfId="0" applyNumberFormat="1"/>
    <xf numFmtId="165" fontId="0" fillId="0" borderId="0" xfId="0" applyNumberFormat="1"/>
    <xf numFmtId="1" fontId="0" fillId="2" borderId="0" xfId="0" applyNumberFormat="1" applyFill="1"/>
    <xf numFmtId="1" fontId="2" fillId="0" borderId="0" xfId="2" applyNumberFormat="1"/>
    <xf numFmtId="1" fontId="0" fillId="0" borderId="0" xfId="1" applyNumberFormat="1" applyFont="1" applyFill="1"/>
    <xf numFmtId="9" fontId="0" fillId="2" borderId="0" xfId="1" applyFont="1" applyFill="1"/>
    <xf numFmtId="2" fontId="0" fillId="3" borderId="0" xfId="0" applyNumberFormat="1" applyFill="1"/>
    <xf numFmtId="2" fontId="0" fillId="4" borderId="0" xfId="0" applyNumberFormat="1" applyFill="1"/>
    <xf numFmtId="0" fontId="0" fillId="0" borderId="0" xfId="0" applyAlignment="1">
      <alignment wrapText="1"/>
    </xf>
    <xf numFmtId="165" fontId="8" fillId="4" borderId="0" xfId="4" applyNumberFormat="1" applyFill="1"/>
    <xf numFmtId="165" fontId="3" fillId="4" borderId="0" xfId="2" applyNumberFormat="1" applyFont="1" applyFill="1" applyAlignment="1">
      <alignment horizontal="right"/>
    </xf>
    <xf numFmtId="3" fontId="5" fillId="5" borderId="0" xfId="3" applyNumberFormat="1" applyFont="1" applyFill="1"/>
    <xf numFmtId="3" fontId="5" fillId="5" borderId="0" xfId="3" applyNumberFormat="1" applyFont="1" applyFill="1" applyAlignment="1" applyProtection="1">
      <alignment horizontal="right"/>
      <protection locked="0"/>
    </xf>
    <xf numFmtId="0" fontId="9" fillId="6" borderId="0" xfId="5" applyFill="1" applyAlignment="1">
      <alignment wrapText="1"/>
    </xf>
    <xf numFmtId="0" fontId="9" fillId="5" borderId="0" xfId="5" applyFill="1" applyAlignment="1">
      <alignment wrapText="1"/>
    </xf>
    <xf numFmtId="0" fontId="9" fillId="3" borderId="0" xfId="5" applyFill="1" applyAlignment="1">
      <alignment wrapText="1"/>
    </xf>
    <xf numFmtId="0" fontId="9" fillId="4" borderId="0" xfId="5" applyFill="1" applyAlignment="1">
      <alignment wrapText="1"/>
    </xf>
    <xf numFmtId="1" fontId="0" fillId="6" borderId="0" xfId="0" applyNumberFormat="1" applyFill="1"/>
    <xf numFmtId="1" fontId="0" fillId="5" borderId="0" xfId="0" applyNumberFormat="1" applyFill="1"/>
    <xf numFmtId="1" fontId="0" fillId="3" borderId="0" xfId="0" applyNumberFormat="1" applyFill="1"/>
    <xf numFmtId="166" fontId="8" fillId="0" borderId="0" xfId="4" applyNumberFormat="1"/>
    <xf numFmtId="0" fontId="3" fillId="0" borderId="2" xfId="2" applyFont="1" applyBorder="1" applyAlignment="1">
      <alignment horizontal="right"/>
    </xf>
    <xf numFmtId="165" fontId="8" fillId="4" borderId="2" xfId="4" applyNumberFormat="1" applyFill="1" applyBorder="1"/>
    <xf numFmtId="165" fontId="0" fillId="0" borderId="2" xfId="0" applyNumberFormat="1" applyBorder="1"/>
    <xf numFmtId="3" fontId="5" fillId="5" borderId="2" xfId="3" applyNumberFormat="1" applyFont="1" applyFill="1" applyBorder="1" applyAlignment="1" applyProtection="1">
      <alignment horizontal="right"/>
      <protection locked="0"/>
    </xf>
    <xf numFmtId="1" fontId="8" fillId="0" borderId="2" xfId="4" applyNumberFormat="1" applyBorder="1"/>
    <xf numFmtId="0" fontId="2" fillId="0" borderId="2" xfId="2" applyBorder="1"/>
    <xf numFmtId="165" fontId="3" fillId="4" borderId="2" xfId="2" applyNumberFormat="1" applyFont="1" applyFill="1" applyBorder="1" applyAlignment="1">
      <alignment horizontal="right"/>
    </xf>
    <xf numFmtId="2" fontId="0" fillId="0" borderId="2" xfId="0" applyNumberFormat="1" applyBorder="1"/>
    <xf numFmtId="2" fontId="8" fillId="0" borderId="2" xfId="4" applyNumberFormat="1" applyBorder="1"/>
    <xf numFmtId="2" fontId="0" fillId="4" borderId="2" xfId="0" applyNumberFormat="1" applyFill="1" applyBorder="1"/>
    <xf numFmtId="164" fontId="0" fillId="0" borderId="2" xfId="1" applyNumberFormat="1" applyFont="1" applyBorder="1"/>
    <xf numFmtId="9" fontId="0" fillId="0" borderId="2" xfId="1" applyFont="1" applyBorder="1"/>
    <xf numFmtId="2" fontId="0" fillId="3" borderId="2" xfId="0" applyNumberFormat="1" applyFill="1" applyBorder="1"/>
    <xf numFmtId="0" fontId="0" fillId="0" borderId="2" xfId="0" applyBorder="1"/>
    <xf numFmtId="165" fontId="8" fillId="0" borderId="0" xfId="4" applyNumberFormat="1"/>
    <xf numFmtId="2" fontId="0" fillId="0" borderId="2" xfId="1" applyNumberFormat="1" applyFont="1" applyBorder="1"/>
    <xf numFmtId="2" fontId="0" fillId="0" borderId="3" xfId="1" applyNumberFormat="1" applyFont="1" applyBorder="1"/>
    <xf numFmtId="2" fontId="0" fillId="0" borderId="0" xfId="1" applyNumberFormat="1" applyFont="1" applyBorder="1"/>
    <xf numFmtId="0" fontId="10" fillId="0" borderId="0" xfId="0" applyFont="1"/>
    <xf numFmtId="0" fontId="2" fillId="0" borderId="1" xfId="2" applyBorder="1" applyAlignment="1">
      <alignment wrapText="1"/>
    </xf>
    <xf numFmtId="0" fontId="9" fillId="0" borderId="0" xfId="5" applyFill="1" applyAlignment="1">
      <alignment wrapText="1"/>
    </xf>
    <xf numFmtId="9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center" vertical="center"/>
    </xf>
  </cellXfs>
  <cellStyles count="6">
    <cellStyle name="Hyperlink" xfId="5" builtinId="8"/>
    <cellStyle name="Normal" xfId="0" builtinId="0"/>
    <cellStyle name="Normal 2" xfId="2" xr:uid="{EE8A6BA5-C4E7-471C-A938-B409DD5066E3}"/>
    <cellStyle name="Normal 3" xfId="3" xr:uid="{38ED5F54-779D-4073-A7D0-CBA7E8E9327D}"/>
    <cellStyle name="Normal 4" xfId="4" xr:uid="{E607D853-F4F7-407D-9996-71C9E0FDEBD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08538574621909E-2"/>
          <c:y val="4.4310171198388724E-2"/>
          <c:w val="0.91348506756348546"/>
          <c:h val="0.81923416672613814"/>
        </c:manualLayout>
      </c:layout>
      <c:barChart>
        <c:barDir val="col"/>
        <c:grouping val="clustered"/>
        <c:varyColors val="0"/>
        <c:ser>
          <c:idx val="3"/>
          <c:order val="0"/>
          <c:tx>
            <c:v/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'Historical responsibility T'!$D$111:$D$116</c:f>
              <c:numCache>
                <c:formatCode>General</c:formatCode>
                <c:ptCount val="6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</c:numCache>
            </c:numRef>
          </c:cat>
          <c:val>
            <c:numRef>
              <c:f>'Historical responsibility T'!$E$111:$E$116</c:f>
              <c:numCache>
                <c:formatCode>0</c:formatCode>
                <c:ptCount val="6"/>
                <c:pt idx="0">
                  <c:v>-608.42824319832789</c:v>
                </c:pt>
                <c:pt idx="1">
                  <c:v>-321.06917366294101</c:v>
                </c:pt>
                <c:pt idx="2">
                  <c:v>137.48729540202066</c:v>
                </c:pt>
                <c:pt idx="3">
                  <c:v>360.46829995466715</c:v>
                </c:pt>
                <c:pt idx="4">
                  <c:v>539.06009013245307</c:v>
                </c:pt>
                <c:pt idx="5">
                  <c:v>637.89244136114496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BF-472C-BA12-06E90A54C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3325232"/>
        <c:axId val="973322608"/>
      </c:barChart>
      <c:catAx>
        <c:axId val="97332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322608"/>
        <c:crosses val="autoZero"/>
        <c:auto val="1"/>
        <c:lblAlgn val="ctr"/>
        <c:lblOffset val="100"/>
        <c:noMultiLvlLbl val="0"/>
      </c:catAx>
      <c:valAx>
        <c:axId val="97332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32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08538574621909E-2"/>
          <c:y val="4.4310171198388724E-2"/>
          <c:w val="0.91348506756348546"/>
          <c:h val="0.81923416672613814"/>
        </c:manualLayout>
      </c:layout>
      <c:barChart>
        <c:barDir val="col"/>
        <c:grouping val="clustered"/>
        <c:varyColors val="0"/>
        <c:ser>
          <c:idx val="3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'Historical responsibility C'!$D$77:$D$81</c:f>
              <c:strCache>
                <c:ptCount val="5"/>
                <c:pt idx="0">
                  <c:v>1990</c:v>
                </c:pt>
                <c:pt idx="1">
                  <c:v>2000</c:v>
                </c:pt>
                <c:pt idx="2">
                  <c:v>2010</c:v>
                </c:pt>
                <c:pt idx="3">
                  <c:v>Inget historiskt ansvar - lika per capita utsläpp per år</c:v>
                </c:pt>
                <c:pt idx="4">
                  <c:v>Ekonomisk kapacitet</c:v>
                </c:pt>
              </c:strCache>
            </c:strRef>
          </c:cat>
          <c:val>
            <c:numRef>
              <c:f>'Historical responsibility C'!$E$77:$E$81</c:f>
              <c:numCache>
                <c:formatCode>0</c:formatCode>
                <c:ptCount val="5"/>
                <c:pt idx="0">
                  <c:v>-375.47724948698169</c:v>
                </c:pt>
                <c:pt idx="1">
                  <c:v>66.015845635387905</c:v>
                </c:pt>
                <c:pt idx="2">
                  <c:v>456.86221244596902</c:v>
                </c:pt>
                <c:pt idx="3">
                  <c:v>686.6687902662801</c:v>
                </c:pt>
                <c:pt idx="4">
                  <c:v>214.60750796709743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4-FF4F-8ACF-FF8F7A6AF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3325232"/>
        <c:axId val="973322608"/>
      </c:barChart>
      <c:catAx>
        <c:axId val="97332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322608"/>
        <c:crosses val="autoZero"/>
        <c:auto val="1"/>
        <c:lblAlgn val="ctr"/>
        <c:lblOffset val="100"/>
        <c:noMultiLvlLbl val="0"/>
      </c:catAx>
      <c:valAx>
        <c:axId val="97332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32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08538574621909E-2"/>
          <c:y val="4.4310171198388724E-2"/>
          <c:w val="0.91348506756348546"/>
          <c:h val="0.81923416672613814"/>
        </c:manualLayout>
      </c:layout>
      <c:barChart>
        <c:barDir val="col"/>
        <c:grouping val="clustered"/>
        <c:varyColors val="0"/>
        <c:ser>
          <c:idx val="3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'Historical responsibility C+T'!$D$77:$D$81</c:f>
              <c:strCache>
                <c:ptCount val="5"/>
                <c:pt idx="0">
                  <c:v>1990</c:v>
                </c:pt>
                <c:pt idx="1">
                  <c:v>2000</c:v>
                </c:pt>
                <c:pt idx="2">
                  <c:v>2010</c:v>
                </c:pt>
                <c:pt idx="3">
                  <c:v>Inget historiskt ansvar - lika per capita utsläpp per år</c:v>
                </c:pt>
                <c:pt idx="4">
                  <c:v>Ekonomisk kapacitet</c:v>
                </c:pt>
              </c:strCache>
            </c:strRef>
          </c:cat>
          <c:val>
            <c:numRef>
              <c:f>'Historical responsibility C+T'!$E$77:$E$81</c:f>
              <c:numCache>
                <c:formatCode>0</c:formatCode>
                <c:ptCount val="5"/>
                <c:pt idx="0">
                  <c:v>169.94591565162114</c:v>
                </c:pt>
                <c:pt idx="1">
                  <c:v>435.29513646111968</c:v>
                </c:pt>
                <c:pt idx="2">
                  <c:v>630.49211283183502</c:v>
                </c:pt>
                <c:pt idx="3">
                  <c:v>672.78007491311826</c:v>
                </c:pt>
                <c:pt idx="4">
                  <c:v>214.60750796709743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5-6D48-8C59-1D9D53DE5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3325232"/>
        <c:axId val="973322608"/>
      </c:barChart>
      <c:catAx>
        <c:axId val="97332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322608"/>
        <c:crosses val="autoZero"/>
        <c:auto val="1"/>
        <c:lblAlgn val="ctr"/>
        <c:lblOffset val="100"/>
        <c:noMultiLvlLbl val="0"/>
      </c:catAx>
      <c:valAx>
        <c:axId val="97332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32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'Historical responsibility C+T'!$T$20</c:f>
              <c:strCache>
                <c:ptCount val="1"/>
                <c:pt idx="0">
                  <c:v>1990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C+T'!$V$20:$AP$20</c:f>
              <c:numCache>
                <c:formatCode>0</c:formatCode>
                <c:ptCount val="21"/>
                <c:pt idx="0">
                  <c:v>438.58709468658026</c:v>
                </c:pt>
                <c:pt idx="1">
                  <c:v>397.88395481402222</c:v>
                </c:pt>
                <c:pt idx="2">
                  <c:v>357.180733535022</c:v>
                </c:pt>
                <c:pt idx="3">
                  <c:v>316.47751225602224</c:v>
                </c:pt>
                <c:pt idx="4">
                  <c:v>275.77429097702179</c:v>
                </c:pt>
                <c:pt idx="5">
                  <c:v>235.07106969802135</c:v>
                </c:pt>
                <c:pt idx="6">
                  <c:v>194.36784841902136</c:v>
                </c:pt>
                <c:pt idx="7">
                  <c:v>153.66462714002114</c:v>
                </c:pt>
                <c:pt idx="8">
                  <c:v>112.96140586102092</c:v>
                </c:pt>
                <c:pt idx="9">
                  <c:v>72.258184582020704</c:v>
                </c:pt>
                <c:pt idx="10">
                  <c:v>31.554963303020941</c:v>
                </c:pt>
                <c:pt idx="11">
                  <c:v>-9.1482579759785949</c:v>
                </c:pt>
                <c:pt idx="12">
                  <c:v>-49.851479254979495</c:v>
                </c:pt>
                <c:pt idx="13">
                  <c:v>-90.55470053397994</c:v>
                </c:pt>
                <c:pt idx="14">
                  <c:v>-131.25792181298038</c:v>
                </c:pt>
                <c:pt idx="15">
                  <c:v>-171.96114309198038</c:v>
                </c:pt>
                <c:pt idx="16">
                  <c:v>-212.66436437097991</c:v>
                </c:pt>
                <c:pt idx="17">
                  <c:v>-253.36758564998081</c:v>
                </c:pt>
                <c:pt idx="18">
                  <c:v>-294.07080692898126</c:v>
                </c:pt>
                <c:pt idx="19">
                  <c:v>-334.77402820798079</c:v>
                </c:pt>
                <c:pt idx="20">
                  <c:v>-375.47724948698169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C3-EB43-9F4C-753AC264E8CB}"/>
            </c:ext>
          </c:extLst>
        </c:ser>
        <c:ser>
          <c:idx val="1"/>
          <c:order val="1"/>
          <c:tx>
            <c:strRef>
              <c:f>'Historical responsibility C+T'!$T$21</c:f>
              <c:strCache>
                <c:ptCount val="1"/>
                <c:pt idx="0">
                  <c:v>2000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C+T'!$V$21:$AP$21</c:f>
              <c:numCache>
                <c:formatCode>0</c:formatCode>
                <c:ptCount val="21"/>
                <c:pt idx="0">
                  <c:v>617.17891115449652</c:v>
                </c:pt>
                <c:pt idx="1">
                  <c:v>589.62081023903761</c:v>
                </c:pt>
                <c:pt idx="2">
                  <c:v>562.06265420726641</c:v>
                </c:pt>
                <c:pt idx="3">
                  <c:v>534.5044981754952</c:v>
                </c:pt>
                <c:pt idx="4">
                  <c:v>506.94634214372445</c:v>
                </c:pt>
                <c:pt idx="5">
                  <c:v>479.38818611195347</c:v>
                </c:pt>
                <c:pt idx="6">
                  <c:v>451.83003008018204</c:v>
                </c:pt>
                <c:pt idx="7">
                  <c:v>424.27187404841106</c:v>
                </c:pt>
                <c:pt idx="8">
                  <c:v>396.71371801663986</c:v>
                </c:pt>
                <c:pt idx="9">
                  <c:v>369.15556198486956</c:v>
                </c:pt>
                <c:pt idx="10">
                  <c:v>341.59740595309813</c:v>
                </c:pt>
                <c:pt idx="11">
                  <c:v>314.03924992132715</c:v>
                </c:pt>
                <c:pt idx="12">
                  <c:v>286.48109388955618</c:v>
                </c:pt>
                <c:pt idx="13">
                  <c:v>258.9229378577852</c:v>
                </c:pt>
                <c:pt idx="14">
                  <c:v>231.36478182601354</c:v>
                </c:pt>
                <c:pt idx="15">
                  <c:v>203.80662579424279</c:v>
                </c:pt>
                <c:pt idx="16">
                  <c:v>176.24846976247227</c:v>
                </c:pt>
                <c:pt idx="17">
                  <c:v>148.69031373070084</c:v>
                </c:pt>
                <c:pt idx="18">
                  <c:v>121.13215769892963</c:v>
                </c:pt>
                <c:pt idx="19">
                  <c:v>93.574001667158427</c:v>
                </c:pt>
                <c:pt idx="20">
                  <c:v>66.015845635387905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C3-EB43-9F4C-753AC264E8CB}"/>
            </c:ext>
          </c:extLst>
        </c:ser>
        <c:ser>
          <c:idx val="2"/>
          <c:order val="2"/>
          <c:tx>
            <c:strRef>
              <c:f>'Historical responsibility C+T'!$T$22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C+T'!$V$22:$AP$22</c:f>
              <c:numCache>
                <c:formatCode>0</c:formatCode>
                <c:ptCount val="21"/>
                <c:pt idx="0">
                  <c:v>716.01129158459003</c:v>
                </c:pt>
                <c:pt idx="1">
                  <c:v>703.05386224682388</c:v>
                </c:pt>
                <c:pt idx="2">
                  <c:v>690.09640699414729</c:v>
                </c:pt>
                <c:pt idx="3">
                  <c:v>677.13895174147069</c:v>
                </c:pt>
                <c:pt idx="4">
                  <c:v>664.18149648879421</c:v>
                </c:pt>
                <c:pt idx="5">
                  <c:v>651.22404123611773</c:v>
                </c:pt>
                <c:pt idx="6">
                  <c:v>638.26658598344102</c:v>
                </c:pt>
                <c:pt idx="7">
                  <c:v>625.30913073076454</c:v>
                </c:pt>
                <c:pt idx="8">
                  <c:v>612.35167547808794</c:v>
                </c:pt>
                <c:pt idx="9">
                  <c:v>599.39422022541135</c:v>
                </c:pt>
                <c:pt idx="10">
                  <c:v>586.43676497273486</c:v>
                </c:pt>
                <c:pt idx="11">
                  <c:v>573.47930972005815</c:v>
                </c:pt>
                <c:pt idx="12">
                  <c:v>560.52185446738167</c:v>
                </c:pt>
                <c:pt idx="13">
                  <c:v>547.56439921470496</c:v>
                </c:pt>
                <c:pt idx="14">
                  <c:v>534.60694396202848</c:v>
                </c:pt>
                <c:pt idx="15">
                  <c:v>521.64948870935177</c:v>
                </c:pt>
                <c:pt idx="16">
                  <c:v>508.69203345667529</c:v>
                </c:pt>
                <c:pt idx="17">
                  <c:v>495.73457820399881</c:v>
                </c:pt>
                <c:pt idx="18">
                  <c:v>482.77712295132233</c:v>
                </c:pt>
                <c:pt idx="19">
                  <c:v>469.8196676986455</c:v>
                </c:pt>
                <c:pt idx="20">
                  <c:v>456.86221244596902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C3-EB43-9F4C-753AC264E8CB}"/>
            </c:ext>
          </c:extLst>
        </c:ser>
        <c:ser>
          <c:idx val="3"/>
          <c:order val="3"/>
          <c:tx>
            <c:strRef>
              <c:f>'Historical responsibility C+T'!$T$23</c:f>
              <c:strCache>
                <c:ptCount val="1"/>
                <c:pt idx="0">
                  <c:v>Inget historiskt ansvar - lika per capita utsläpp per år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C+T'!$V$23:$AP$23</c:f>
              <c:numCache>
                <c:formatCode>0</c:formatCode>
                <c:ptCount val="21"/>
                <c:pt idx="0">
                  <c:v>665.93936643898121</c:v>
                </c:pt>
                <c:pt idx="1">
                  <c:v>666.97583566105072</c:v>
                </c:pt>
                <c:pt idx="2">
                  <c:v>668.01230695606273</c:v>
                </c:pt>
                <c:pt idx="3">
                  <c:v>669.04877825107474</c:v>
                </c:pt>
                <c:pt idx="4">
                  <c:v>670.08524954608697</c:v>
                </c:pt>
                <c:pt idx="5">
                  <c:v>671.12172084109898</c:v>
                </c:pt>
                <c:pt idx="6">
                  <c:v>672.15819213611098</c:v>
                </c:pt>
                <c:pt idx="7">
                  <c:v>673.1946634311231</c:v>
                </c:pt>
                <c:pt idx="8">
                  <c:v>674.23113472613522</c:v>
                </c:pt>
                <c:pt idx="9">
                  <c:v>675.26760602114734</c:v>
                </c:pt>
                <c:pt idx="10">
                  <c:v>676.30407731615935</c:v>
                </c:pt>
                <c:pt idx="11">
                  <c:v>677.34054861117147</c:v>
                </c:pt>
                <c:pt idx="12">
                  <c:v>678.37701990618348</c:v>
                </c:pt>
                <c:pt idx="13">
                  <c:v>679.4134912011956</c:v>
                </c:pt>
                <c:pt idx="14">
                  <c:v>680.4499624962076</c:v>
                </c:pt>
                <c:pt idx="15">
                  <c:v>681.48643379121972</c:v>
                </c:pt>
                <c:pt idx="16">
                  <c:v>682.52290508623173</c:v>
                </c:pt>
                <c:pt idx="17">
                  <c:v>683.55937638124396</c:v>
                </c:pt>
                <c:pt idx="18">
                  <c:v>684.59584767625597</c:v>
                </c:pt>
                <c:pt idx="19">
                  <c:v>685.63231897126798</c:v>
                </c:pt>
                <c:pt idx="20">
                  <c:v>686.6687902662801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C3-EB43-9F4C-753AC264E8CB}"/>
            </c:ext>
          </c:extLst>
        </c:ser>
        <c:ser>
          <c:idx val="4"/>
          <c:order val="4"/>
          <c:tx>
            <c:strRef>
              <c:f>'Historical responsibility C+T'!$T$24</c:f>
              <c:strCache>
                <c:ptCount val="1"/>
                <c:pt idx="0">
                  <c:v>Ekonomisk kapacitet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C+T'!$V$24:$AP$24</c:f>
              <c:numCache>
                <c:formatCode>0</c:formatCode>
                <c:ptCount val="21"/>
                <c:pt idx="0">
                  <c:v>214.60750796709743</c:v>
                </c:pt>
                <c:pt idx="1">
                  <c:v>214.60750796709743</c:v>
                </c:pt>
                <c:pt idx="2">
                  <c:v>214.60750796709743</c:v>
                </c:pt>
                <c:pt idx="3">
                  <c:v>214.60750796709743</c:v>
                </c:pt>
                <c:pt idx="4">
                  <c:v>214.60750796709743</c:v>
                </c:pt>
                <c:pt idx="5">
                  <c:v>214.60750796709743</c:v>
                </c:pt>
                <c:pt idx="6">
                  <c:v>214.60750796709743</c:v>
                </c:pt>
                <c:pt idx="7">
                  <c:v>214.60750796709743</c:v>
                </c:pt>
                <c:pt idx="8">
                  <c:v>214.60750796709743</c:v>
                </c:pt>
                <c:pt idx="9">
                  <c:v>214.60750796709743</c:v>
                </c:pt>
                <c:pt idx="10">
                  <c:v>214.60750796709743</c:v>
                </c:pt>
                <c:pt idx="11">
                  <c:v>214.60750796709743</c:v>
                </c:pt>
                <c:pt idx="12">
                  <c:v>214.60750796709743</c:v>
                </c:pt>
                <c:pt idx="13">
                  <c:v>214.60750796709743</c:v>
                </c:pt>
                <c:pt idx="14">
                  <c:v>214.60750796709743</c:v>
                </c:pt>
                <c:pt idx="15">
                  <c:v>214.60750796709743</c:v>
                </c:pt>
                <c:pt idx="16">
                  <c:v>214.60750796709743</c:v>
                </c:pt>
                <c:pt idx="17">
                  <c:v>214.60750796709743</c:v>
                </c:pt>
                <c:pt idx="18">
                  <c:v>214.60750796709743</c:v>
                </c:pt>
                <c:pt idx="19">
                  <c:v>214.60750796709743</c:v>
                </c:pt>
                <c:pt idx="20">
                  <c:v>214.60750796709743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C3-EB43-9F4C-753AC264E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2727248"/>
        <c:axId val="492751360"/>
      </c:lineChart>
      <c:catAx>
        <c:axId val="49272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51360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492751360"/>
        <c:scaling>
          <c:orientation val="minMax"/>
          <c:max val="800"/>
          <c:min val="-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 budget 2020-2050 </a:t>
                </a:r>
              </a:p>
              <a:p>
                <a:pPr>
                  <a:defRPr/>
                </a:pPr>
                <a:r>
                  <a:rPr lang="en-US" baseline="0"/>
                  <a:t>(million tons CO₂)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2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'Historical responsibility C+T'!$T$25</c:f>
              <c:strCache>
                <c:ptCount val="1"/>
                <c:pt idx="0">
                  <c:v>1990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C+T'!$V$25:$AP$25</c:f>
              <c:numCache>
                <c:formatCode>General</c:formatCode>
                <c:ptCount val="21"/>
                <c:pt idx="0">
                  <c:v>2040.4119022812658</c:v>
                </c:pt>
                <c:pt idx="1">
                  <c:v>2037.805699668178</c:v>
                </c:pt>
                <c:pt idx="2">
                  <c:v>2035.3604810954291</c:v>
                </c:pt>
                <c:pt idx="3">
                  <c:v>2033.0617820200048</c:v>
                </c:pt>
                <c:pt idx="4">
                  <c:v>2030.896816171572</c:v>
                </c:pt>
                <c:pt idx="5">
                  <c:v>2028.8542429798276</c:v>
                </c:pt>
                <c:pt idx="6">
                  <c:v>2026.9239688658531</c:v>
                </c:pt>
                <c:pt idx="7">
                  <c:v>2025.096980431153</c:v>
                </c:pt>
                <c:pt idx="8">
                  <c:v>2023.3652037262691</c:v>
                </c:pt>
                <c:pt idx="9">
                  <c:v>2021.7213849628774</c:v>
                </c:pt>
                <c:pt idx="10">
                  <c:v>2020.158988951838</c:v>
                </c:pt>
                <c:pt idx="11">
                  <c:v>2018.6721122684105</c:v>
                </c:pt>
                <c:pt idx="12">
                  <c:v>2017.2554087119731</c:v>
                </c:pt>
                <c:pt idx="13">
                  <c:v>2015.90402507622</c:v>
                </c:pt>
                <c:pt idx="14">
                  <c:v>2014.6135456034867</c:v>
                </c:pt>
                <c:pt idx="15">
                  <c:v>2013.3799437835739</c:v>
                </c:pt>
                <c:pt idx="16">
                  <c:v>2012.1995403885196</c:v>
                </c:pt>
                <c:pt idx="17">
                  <c:v>2011.0689668219634</c:v>
                </c:pt>
                <c:pt idx="18">
                  <c:v>2009.9851330141007</c:v>
                </c:pt>
                <c:pt idx="19">
                  <c:v>2008.9451992178233</c:v>
                </c:pt>
                <c:pt idx="20">
                  <c:v>2007.9465511639669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E4-2E44-806F-4878A9E2A6F2}"/>
            </c:ext>
          </c:extLst>
        </c:ser>
        <c:ser>
          <c:idx val="1"/>
          <c:order val="1"/>
          <c:tx>
            <c:strRef>
              <c:f>'Historical responsibility C+T'!$T$26</c:f>
              <c:strCache>
                <c:ptCount val="1"/>
                <c:pt idx="0">
                  <c:v>2000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C+T'!$V$26:$AP$26</c:f>
              <c:numCache>
                <c:formatCode>General</c:formatCode>
                <c:ptCount val="21"/>
                <c:pt idx="0">
                  <c:v>2049.1307874668355</c:v>
                </c:pt>
                <c:pt idx="1">
                  <c:v>2046.8680045809988</c:v>
                </c:pt>
                <c:pt idx="2">
                  <c:v>2044.7449928432468</c:v>
                </c:pt>
                <c:pt idx="3">
                  <c:v>2042.749193705667</c:v>
                </c:pt>
                <c:pt idx="4">
                  <c:v>2040.8695057467748</c:v>
                </c:pt>
                <c:pt idx="5">
                  <c:v>2039.0960827449956</c:v>
                </c:pt>
                <c:pt idx="6">
                  <c:v>2037.4201611538879</c:v>
                </c:pt>
                <c:pt idx="7">
                  <c:v>2035.8339152718909</c:v>
                </c:pt>
                <c:pt idx="8">
                  <c:v>2034.3303350551328</c:v>
                </c:pt>
                <c:pt idx="9">
                  <c:v>2032.9031225481158</c:v>
                </c:pt>
                <c:pt idx="10">
                  <c:v>2031.5466037045976</c:v>
                </c:pt>
                <c:pt idx="11">
                  <c:v>2030.255652995043</c:v>
                </c:pt>
                <c:pt idx="12">
                  <c:v>2029.0256286885244</c:v>
                </c:pt>
                <c:pt idx="13">
                  <c:v>2027.8523170864926</c:v>
                </c:pt>
                <c:pt idx="14">
                  <c:v>2026.7318842963632</c:v>
                </c:pt>
                <c:pt idx="15">
                  <c:v>2025.6608343818179</c:v>
                </c:pt>
                <c:pt idx="16">
                  <c:v>2024.6359729273404</c:v>
                </c:pt>
                <c:pt idx="17">
                  <c:v>2023.6543752170412</c:v>
                </c:pt>
                <c:pt idx="18">
                  <c:v>2022.7133583600992</c:v>
                </c:pt>
                <c:pt idx="19">
                  <c:v>2021.8104568033273</c:v>
                </c:pt>
                <c:pt idx="20">
                  <c:v>2020.9434007602197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E4-2E44-806F-4878A9E2A6F2}"/>
            </c:ext>
          </c:extLst>
        </c:ser>
        <c:ser>
          <c:idx val="2"/>
          <c:order val="2"/>
          <c:tx>
            <c:strRef>
              <c:f>'Historical responsibility C+T'!$T$27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C+T'!$V$27:$AP$27</c:f>
              <c:numCache>
                <c:formatCode>0</c:formatCode>
                <c:ptCount val="21"/>
                <c:pt idx="0">
                  <c:v>2053.9558023786544</c:v>
                </c:pt>
                <c:pt idx="1">
                  <c:v>2052.2293364032389</c:v>
                </c:pt>
                <c:pt idx="2">
                  <c:v>2050.6095135057008</c:v>
                </c:pt>
                <c:pt idx="3">
                  <c:v>2049.0867517213678</c:v>
                </c:pt>
                <c:pt idx="4">
                  <c:v>2047.6525808489712</c:v>
                </c:pt>
                <c:pt idx="5">
                  <c:v>2046.2994883840443</c:v>
                </c:pt>
                <c:pt idx="6">
                  <c:v>2045.0207878853701</c:v>
                </c:pt>
                <c:pt idx="7">
                  <c:v>2043.8105084718868</c:v>
                </c:pt>
                <c:pt idx="8">
                  <c:v>2042.663301595881</c:v>
                </c:pt>
                <c:pt idx="9">
                  <c:v>2041.5743620213088</c:v>
                </c:pt>
                <c:pt idx="10">
                  <c:v>2040.5393605445863</c:v>
                </c:pt>
                <c:pt idx="11">
                  <c:v>2039.5543864713179</c:v>
                </c:pt>
                <c:pt idx="12">
                  <c:v>2038.6158982374577</c:v>
                </c:pt>
                <c:pt idx="13">
                  <c:v>2037.7206808605952</c:v>
                </c:pt>
                <c:pt idx="14">
                  <c:v>2036.865809144</c:v>
                </c:pt>
                <c:pt idx="15">
                  <c:v>2036.0486157459907</c:v>
                </c:pt>
                <c:pt idx="16">
                  <c:v>2035.2666633802799</c:v>
                </c:pt>
                <c:pt idx="17">
                  <c:v>2034.5177205369412</c:v>
                </c:pt>
                <c:pt idx="18">
                  <c:v>2033.7997402145816</c:v>
                </c:pt>
                <c:pt idx="19">
                  <c:v>2033.1108412368346</c:v>
                </c:pt>
                <c:pt idx="20">
                  <c:v>2032.4492917940786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E4-2E44-806F-4878A9E2A6F2}"/>
            </c:ext>
          </c:extLst>
        </c:ser>
        <c:ser>
          <c:idx val="3"/>
          <c:order val="3"/>
          <c:tx>
            <c:strRef>
              <c:f>'Historical responsibility C+T'!$T$28</c:f>
              <c:strCache>
                <c:ptCount val="1"/>
                <c:pt idx="0">
                  <c:v>Inget historiskt ansvar - lika per capita utsläpp per år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C+T'!$V$28:$AP$28</c:f>
              <c:numCache>
                <c:formatCode>General</c:formatCode>
                <c:ptCount val="21"/>
                <c:pt idx="0">
                  <c:v>2051.5112818233497</c:v>
                </c:pt>
                <c:pt idx="1">
                  <c:v>2050.5241343603225</c:v>
                </c:pt>
                <c:pt idx="2">
                  <c:v>2049.5979625813079</c:v>
                </c:pt>
                <c:pt idx="3">
                  <c:v>2048.7272877729974</c:v>
                </c:pt>
                <c:pt idx="4">
                  <c:v>2047.9072668989149</c:v>
                </c:pt>
                <c:pt idx="5">
                  <c:v>2047.1336045082196</c:v>
                </c:pt>
                <c:pt idx="6">
                  <c:v>2046.402477471132</c:v>
                </c:pt>
                <c:pt idx="7">
                  <c:v>2045.7104717961943</c:v>
                </c:pt>
                <c:pt idx="8">
                  <c:v>2045.0545293256546</c:v>
                </c:pt>
                <c:pt idx="9">
                  <c:v>2044.4319025529662</c:v>
                </c:pt>
                <c:pt idx="10">
                  <c:v>2043.8401161543202</c:v>
                </c:pt>
                <c:pt idx="11">
                  <c:v>2043.276934098363</c:v>
                </c:pt>
                <c:pt idx="12">
                  <c:v>2042.7403314126871</c:v>
                </c:pt>
                <c:pt idx="13">
                  <c:v>2042.2284698556034</c:v>
                </c:pt>
                <c:pt idx="14">
                  <c:v>2041.7396768771912</c:v>
                </c:pt>
                <c:pt idx="15">
                  <c:v>2041.2724273622082</c:v>
                </c:pt>
                <c:pt idx="16">
                  <c:v>2040.8253277349861</c:v>
                </c:pt>
                <c:pt idx="17">
                  <c:v>2040.3971020773236</c:v>
                </c:pt>
                <c:pt idx="18">
                  <c:v>2039.9865799681054</c:v>
                </c:pt>
                <c:pt idx="19">
                  <c:v>2039.5926858005696</c:v>
                </c:pt>
                <c:pt idx="20">
                  <c:v>2039.2144293718979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E4-2E44-806F-4878A9E2A6F2}"/>
            </c:ext>
          </c:extLst>
        </c:ser>
        <c:ser>
          <c:idx val="4"/>
          <c:order val="4"/>
          <c:tx>
            <c:strRef>
              <c:f>'Historical responsibility C+T'!$T$29</c:f>
              <c:strCache>
                <c:ptCount val="1"/>
                <c:pt idx="0">
                  <c:v>Ekonomisk kapacitet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C+T'!$V$29:$AP$29</c:f>
              <c:numCache>
                <c:formatCode>General</c:formatCode>
                <c:ptCount val="21"/>
                <c:pt idx="0">
                  <c:v>2029.4771778401305</c:v>
                </c:pt>
                <c:pt idx="1">
                  <c:v>2029.1432698970025</c:v>
                </c:pt>
                <c:pt idx="2">
                  <c:v>2028.8299873072201</c:v>
                </c:pt>
                <c:pt idx="3">
                  <c:v>2028.5354768665159</c:v>
                </c:pt>
                <c:pt idx="4">
                  <c:v>2028.2581003917312</c:v>
                </c:pt>
                <c:pt idx="5">
                  <c:v>2027.9964049234975</c:v>
                </c:pt>
                <c:pt idx="6">
                  <c:v>2027.7490972675869</c:v>
                </c:pt>
                <c:pt idx="7">
                  <c:v>2027.5150226230116</c:v>
                </c:pt>
                <c:pt idx="8">
                  <c:v>2027.2931465514503</c:v>
                </c:pt>
                <c:pt idx="9">
                  <c:v>2027.0825396940236</c:v>
                </c:pt>
                <c:pt idx="10">
                  <c:v>2026.8823647591287</c:v>
                </c:pt>
                <c:pt idx="11">
                  <c:v>2026.6918653971238</c:v>
                </c:pt>
                <c:pt idx="12">
                  <c:v>2026.5103566501919</c:v>
                </c:pt>
                <c:pt idx="13">
                  <c:v>2026.3372167231864</c:v>
                </c:pt>
                <c:pt idx="14">
                  <c:v>2026.1718798670934</c:v>
                </c:pt>
                <c:pt idx="15">
                  <c:v>2026.0138302034725</c:v>
                </c:pt>
                <c:pt idx="16">
                  <c:v>2025.8625963478526</c:v>
                </c:pt>
                <c:pt idx="17">
                  <c:v>2025.7177467140336</c:v>
                </c:pt>
                <c:pt idx="18">
                  <c:v>2025.5788854007733</c:v>
                </c:pt>
                <c:pt idx="19">
                  <c:v>2025.4456485782941</c:v>
                </c:pt>
                <c:pt idx="20">
                  <c:v>2025.3177013051629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E4-2E44-806F-4878A9E2A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2727248"/>
        <c:axId val="492751360"/>
      </c:lineChart>
      <c:catAx>
        <c:axId val="49272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51360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492751360"/>
        <c:scaling>
          <c:orientation val="minMax"/>
          <c:min val="20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for net-zero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2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'Historical responsibility C+T'!$T$30</c:f>
              <c:strCache>
                <c:ptCount val="1"/>
                <c:pt idx="0">
                  <c:v>1990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C+T'!$V$30:$AP$30</c:f>
              <c:numCache>
                <c:formatCode>General</c:formatCode>
                <c:ptCount val="21"/>
                <c:pt idx="0">
                  <c:v>-530127822.68637127</c:v>
                </c:pt>
                <c:pt idx="1">
                  <c:v>-1382.7194999085452</c:v>
                </c:pt>
                <c:pt idx="2">
                  <c:v>-852.59199968667019</c:v>
                </c:pt>
                <c:pt idx="3">
                  <c:v>-675.88283294604184</c:v>
                </c:pt>
                <c:pt idx="4">
                  <c:v>-587.52824957573125</c:v>
                </c:pt>
                <c:pt idx="5">
                  <c:v>-534.51549955354449</c:v>
                </c:pt>
                <c:pt idx="6">
                  <c:v>-499.17366620541867</c:v>
                </c:pt>
                <c:pt idx="7">
                  <c:v>-473.92949952818674</c:v>
                </c:pt>
                <c:pt idx="8">
                  <c:v>-454.99637452026263</c:v>
                </c:pt>
                <c:pt idx="9">
                  <c:v>-440.27061062521068</c:v>
                </c:pt>
                <c:pt idx="10">
                  <c:v>-428.48999950916811</c:v>
                </c:pt>
                <c:pt idx="11">
                  <c:v>-418.85131768695101</c:v>
                </c:pt>
                <c:pt idx="12">
                  <c:v>-410.81908283510586</c:v>
                </c:pt>
                <c:pt idx="13">
                  <c:v>-404.02257642200522</c:v>
                </c:pt>
                <c:pt idx="14">
                  <c:v>-398.19699949649055</c:v>
                </c:pt>
                <c:pt idx="15">
                  <c:v>-393.14816616104389</c:v>
                </c:pt>
                <c:pt idx="16">
                  <c:v>-388.7304369925273</c:v>
                </c:pt>
                <c:pt idx="17">
                  <c:v>-384.83244066736745</c:v>
                </c:pt>
                <c:pt idx="18">
                  <c:v>-381.36755504500246</c:v>
                </c:pt>
                <c:pt idx="19">
                  <c:v>-378.26739422499088</c:v>
                </c:pt>
                <c:pt idx="20">
                  <c:v>-375.47724948698169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CD-5945-91AB-2683BAD6C573}"/>
            </c:ext>
          </c:extLst>
        </c:ser>
        <c:ser>
          <c:idx val="1"/>
          <c:order val="1"/>
          <c:tx>
            <c:strRef>
              <c:f>'Historical responsibility C+T'!$T$31</c:f>
              <c:strCache>
                <c:ptCount val="1"/>
                <c:pt idx="0">
                  <c:v>2000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C+T'!$V$31:$AP$31</c:f>
              <c:numCache>
                <c:formatCode>General</c:formatCode>
                <c:ptCount val="21"/>
                <c:pt idx="0">
                  <c:v>1255790341.9927914</c:v>
                </c:pt>
                <c:pt idx="1">
                  <c:v>2452.0176085917624</c:v>
                </c:pt>
                <c:pt idx="2">
                  <c:v>1196.2272070357737</c:v>
                </c:pt>
                <c:pt idx="3">
                  <c:v>777.6304065171114</c:v>
                </c:pt>
                <c:pt idx="4">
                  <c:v>568.33200625778204</c:v>
                </c:pt>
                <c:pt idx="5">
                  <c:v>442.75296610218402</c:v>
                </c:pt>
                <c:pt idx="6">
                  <c:v>359.0336059984503</c:v>
                </c:pt>
                <c:pt idx="7">
                  <c:v>299.23406306721307</c:v>
                </c:pt>
                <c:pt idx="8">
                  <c:v>254.38440586878471</c:v>
                </c:pt>
                <c:pt idx="9">
                  <c:v>219.50133915889788</c:v>
                </c:pt>
                <c:pt idx="10">
                  <c:v>191.59488579098627</c:v>
                </c:pt>
                <c:pt idx="11">
                  <c:v>168.76233303542304</c:v>
                </c:pt>
                <c:pt idx="12">
                  <c:v>149.73520573912026</c:v>
                </c:pt>
                <c:pt idx="13">
                  <c:v>133.63532879609497</c:v>
                </c:pt>
                <c:pt idx="14">
                  <c:v>119.83543427350075</c:v>
                </c:pt>
                <c:pt idx="15">
                  <c:v>107.87552568725373</c:v>
                </c:pt>
                <c:pt idx="16">
                  <c:v>97.410605674287851</c:v>
                </c:pt>
                <c:pt idx="17">
                  <c:v>88.176852721669803</c:v>
                </c:pt>
                <c:pt idx="18">
                  <c:v>79.969072319342928</c:v>
                </c:pt>
                <c:pt idx="19">
                  <c:v>72.625268801471492</c:v>
                </c:pt>
                <c:pt idx="20">
                  <c:v>66.015845635387905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CD-5945-91AB-2683BAD6C573}"/>
            </c:ext>
          </c:extLst>
        </c:ser>
        <c:ser>
          <c:idx val="2"/>
          <c:order val="2"/>
          <c:tx>
            <c:strRef>
              <c:f>'Historical responsibility C+T'!$T$32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C+T'!$V$32:$AP$32</c:f>
              <c:numCache>
                <c:formatCode>General</c:formatCode>
                <c:ptCount val="21"/>
                <c:pt idx="0">
                  <c:v>2244114146.2937264</c:v>
                </c:pt>
                <c:pt idx="1">
                  <c:v>4720.6786487474874</c:v>
                </c:pt>
                <c:pt idx="2">
                  <c:v>2476.5647349045826</c:v>
                </c:pt>
                <c:pt idx="3">
                  <c:v>1728.5267636236147</c:v>
                </c:pt>
                <c:pt idx="4">
                  <c:v>1354.5077779831308</c:v>
                </c:pt>
                <c:pt idx="5">
                  <c:v>1130.096386598841</c:v>
                </c:pt>
                <c:pt idx="6">
                  <c:v>980.48879234264689</c:v>
                </c:pt>
                <c:pt idx="7">
                  <c:v>873.62622501679448</c:v>
                </c:pt>
                <c:pt idx="8">
                  <c:v>793.47929952240486</c:v>
                </c:pt>
                <c:pt idx="9">
                  <c:v>731.1428019156574</c:v>
                </c:pt>
                <c:pt idx="10">
                  <c:v>681.27360383025973</c:v>
                </c:pt>
                <c:pt idx="11">
                  <c:v>640.4715326694793</c:v>
                </c:pt>
                <c:pt idx="12">
                  <c:v>606.46980670216283</c:v>
                </c:pt>
                <c:pt idx="13">
                  <c:v>577.6991154990485</c:v>
                </c:pt>
                <c:pt idx="14">
                  <c:v>553.03852303923645</c:v>
                </c:pt>
                <c:pt idx="15">
                  <c:v>531.6660095740657</c:v>
                </c:pt>
                <c:pt idx="16">
                  <c:v>512.96506029204158</c:v>
                </c:pt>
                <c:pt idx="17">
                  <c:v>496.46422269025567</c:v>
                </c:pt>
                <c:pt idx="18">
                  <c:v>481.79681148866814</c:v>
                </c:pt>
                <c:pt idx="19">
                  <c:v>468.6733383083</c:v>
                </c:pt>
                <c:pt idx="20">
                  <c:v>456.86221244596902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CD-5945-91AB-2683BAD6C573}"/>
            </c:ext>
          </c:extLst>
        </c:ser>
        <c:ser>
          <c:idx val="3"/>
          <c:order val="3"/>
          <c:tx>
            <c:strRef>
              <c:f>'Historical responsibility C+T'!$T$33</c:f>
              <c:strCache>
                <c:ptCount val="1"/>
                <c:pt idx="0">
                  <c:v>Inget historiskt ansvar - lika per capita utsläpp per år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C+T'!$V$33:$AP$33</c:f>
              <c:numCache>
                <c:formatCode>General</c:formatCode>
                <c:ptCount val="21"/>
                <c:pt idx="0">
                  <c:v>1743394894.8376384</c:v>
                </c:pt>
                <c:pt idx="1">
                  <c:v>3999.1181170320247</c:v>
                </c:pt>
                <c:pt idx="2">
                  <c:v>2255.7237345237368</c:v>
                </c:pt>
                <c:pt idx="3">
                  <c:v>1674.5922736876416</c:v>
                </c:pt>
                <c:pt idx="4">
                  <c:v>1384.0265432695946</c:v>
                </c:pt>
                <c:pt idx="5">
                  <c:v>1209.687105018766</c:v>
                </c:pt>
                <c:pt idx="6">
                  <c:v>1093.4608128515467</c:v>
                </c:pt>
                <c:pt idx="7">
                  <c:v>1010.4420327321046</c:v>
                </c:pt>
                <c:pt idx="8">
                  <c:v>948.17794764252312</c:v>
                </c:pt>
                <c:pt idx="9">
                  <c:v>899.75032590618184</c:v>
                </c:pt>
                <c:pt idx="10">
                  <c:v>861.00822851710871</c:v>
                </c:pt>
                <c:pt idx="11">
                  <c:v>829.3101488351399</c:v>
                </c:pt>
                <c:pt idx="12">
                  <c:v>802.89508243349917</c:v>
                </c:pt>
                <c:pt idx="13">
                  <c:v>780.54387240134179</c:v>
                </c:pt>
                <c:pt idx="14">
                  <c:v>761.38569237377806</c:v>
                </c:pt>
                <c:pt idx="15">
                  <c:v>744.78193634988963</c:v>
                </c:pt>
                <c:pt idx="16">
                  <c:v>730.25364982898714</c:v>
                </c:pt>
                <c:pt idx="17">
                  <c:v>717.43457348701475</c:v>
                </c:pt>
                <c:pt idx="18">
                  <c:v>706.03983896081661</c:v>
                </c:pt>
                <c:pt idx="19">
                  <c:v>695.8445501742184</c:v>
                </c:pt>
                <c:pt idx="20">
                  <c:v>686.6687902662801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CD-5945-91AB-2683BAD6C573}"/>
            </c:ext>
          </c:extLst>
        </c:ser>
        <c:ser>
          <c:idx val="4"/>
          <c:order val="4"/>
          <c:tx>
            <c:strRef>
              <c:f>'Historical responsibility C+T'!$T$34</c:f>
              <c:strCache>
                <c:ptCount val="1"/>
                <c:pt idx="0">
                  <c:v>Ekonomisk kapacitet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C+T'!$V$34:$AP$34</c:f>
              <c:numCache>
                <c:formatCode>General</c:formatCode>
                <c:ptCount val="21"/>
                <c:pt idx="0">
                  <c:v>-2769923689.8811998</c:v>
                </c:pt>
                <c:pt idx="1">
                  <c:v>-5048.2484368470405</c:v>
                </c:pt>
                <c:pt idx="2">
                  <c:v>-2278.3242553659156</c:v>
                </c:pt>
                <c:pt idx="3">
                  <c:v>-1355.0161948722073</c:v>
                </c:pt>
                <c:pt idx="4">
                  <c:v>-893.36216462535299</c:v>
                </c:pt>
                <c:pt idx="5">
                  <c:v>-616.36974647724014</c:v>
                </c:pt>
                <c:pt idx="6">
                  <c:v>-431.70813437849841</c:v>
                </c:pt>
                <c:pt idx="7">
                  <c:v>-299.80698287939731</c:v>
                </c:pt>
                <c:pt idx="8">
                  <c:v>-200.88111925507135</c:v>
                </c:pt>
                <c:pt idx="9">
                  <c:v>-123.93878088059573</c:v>
                </c:pt>
                <c:pt idx="10">
                  <c:v>-62.38491018101513</c:v>
                </c:pt>
                <c:pt idx="11">
                  <c:v>-12.022652335903723</c:v>
                </c:pt>
                <c:pt idx="12">
                  <c:v>29.945895868355688</c:v>
                </c:pt>
                <c:pt idx="13">
                  <c:v>65.457744348883011</c:v>
                </c:pt>
                <c:pt idx="14">
                  <c:v>95.896471617906315</c:v>
                </c:pt>
                <c:pt idx="15">
                  <c:v>122.27670191772658</c:v>
                </c:pt>
                <c:pt idx="16">
                  <c:v>145.35940343006931</c:v>
                </c:pt>
                <c:pt idx="17">
                  <c:v>165.72649299978346</c:v>
                </c:pt>
                <c:pt idx="18">
                  <c:v>183.83057261730718</c:v>
                </c:pt>
                <c:pt idx="19">
                  <c:v>200.02895964351256</c:v>
                </c:pt>
                <c:pt idx="20">
                  <c:v>214.60750796709743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CD-5945-91AB-2683BAD6C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2727248"/>
        <c:axId val="492751360"/>
      </c:lineChart>
      <c:catAx>
        <c:axId val="49272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51360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492751360"/>
        <c:scaling>
          <c:orientation val="minMax"/>
          <c:max val="800"/>
          <c:min val="-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 budget 2020-2050 </a:t>
                </a:r>
              </a:p>
              <a:p>
                <a:pPr>
                  <a:defRPr/>
                </a:pPr>
                <a:r>
                  <a:rPr lang="en-US" baseline="0"/>
                  <a:t>(million tons CO₂)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2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'Historical responsibility C+T'!$T$35</c:f>
              <c:strCache>
                <c:ptCount val="1"/>
                <c:pt idx="0">
                  <c:v>1990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C+T'!$V$35:$AP$35</c:f>
              <c:numCache>
                <c:formatCode>General</c:formatCode>
                <c:ptCount val="21"/>
                <c:pt idx="0">
                  <c:v>-25878918.386113517</c:v>
                </c:pt>
                <c:pt idx="1">
                  <c:v>1953.6467548489923</c:v>
                </c:pt>
                <c:pt idx="2">
                  <c:v>1979.9474588538515</c:v>
                </c:pt>
                <c:pt idx="3">
                  <c:v>1988.9690603600866</c:v>
                </c:pt>
                <c:pt idx="4">
                  <c:v>1993.6542161125876</c:v>
                </c:pt>
                <c:pt idx="5">
                  <c:v>1996.5929653280982</c:v>
                </c:pt>
                <c:pt idx="6">
                  <c:v>1998.6497382574391</c:v>
                </c:pt>
                <c:pt idx="7">
                  <c:v>2000.1958097439267</c:v>
                </c:pt>
                <c:pt idx="8">
                  <c:v>2001.4174296136296</c:v>
                </c:pt>
                <c:pt idx="9">
                  <c:v>2002.4185452307856</c:v>
                </c:pt>
                <c:pt idx="10">
                  <c:v>2003.2618997640664</c:v>
                </c:pt>
                <c:pt idx="11">
                  <c:v>2003.9877201987269</c:v>
                </c:pt>
                <c:pt idx="12">
                  <c:v>2004.6230666856752</c:v>
                </c:pt>
                <c:pt idx="13">
                  <c:v>2005.1868709424514</c:v>
                </c:pt>
                <c:pt idx="14">
                  <c:v>2005.692818574345</c:v>
                </c:pt>
                <c:pt idx="15">
                  <c:v>2006.1510810205068</c:v>
                </c:pt>
                <c:pt idx="16">
                  <c:v>2006.5694000528019</c:v>
                </c:pt>
                <c:pt idx="17">
                  <c:v>2006.9537911406942</c:v>
                </c:pt>
                <c:pt idx="18">
                  <c:v>2007.3090136781291</c:v>
                </c:pt>
                <c:pt idx="19">
                  <c:v>2007.6388937884915</c:v>
                </c:pt>
                <c:pt idx="20">
                  <c:v>2007.9465511639669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D1-754B-90A5-1766B70999B8}"/>
            </c:ext>
          </c:extLst>
        </c:ser>
        <c:ser>
          <c:idx val="1"/>
          <c:order val="1"/>
          <c:tx>
            <c:strRef>
              <c:f>'Historical responsibility C+T'!$T$36</c:f>
              <c:strCache>
                <c:ptCount val="1"/>
                <c:pt idx="0">
                  <c:v>2000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C+T'!$V$36:$AP$36</c:f>
              <c:numCache>
                <c:formatCode>General</c:formatCode>
                <c:ptCount val="21"/>
                <c:pt idx="0">
                  <c:v>61309933.4695815</c:v>
                </c:pt>
                <c:pt idx="1">
                  <c:v>2134.8928531054084</c:v>
                </c:pt>
                <c:pt idx="2">
                  <c:v>2073.7925763320263</c:v>
                </c:pt>
                <c:pt idx="3">
                  <c:v>2053.5518049311677</c:v>
                </c:pt>
                <c:pt idx="4">
                  <c:v>2043.517663988602</c:v>
                </c:pt>
                <c:pt idx="5">
                  <c:v>2037.5603243887695</c:v>
                </c:pt>
                <c:pt idx="6">
                  <c:v>2033.6370458842218</c:v>
                </c:pt>
                <c:pt idx="7">
                  <c:v>2030.8727664317487</c:v>
                </c:pt>
                <c:pt idx="8">
                  <c:v>2028.8302579357887</c:v>
                </c:pt>
                <c:pt idx="9">
                  <c:v>2027.2668509757596</c:v>
                </c:pt>
                <c:pt idx="10">
                  <c:v>2026.0371292695859</c:v>
                </c:pt>
                <c:pt idx="11">
                  <c:v>2025.0487033380589</c:v>
                </c:pt>
                <c:pt idx="12">
                  <c:v>2024.2400999799274</c:v>
                </c:pt>
                <c:pt idx="13">
                  <c:v>2023.568858650563</c:v>
                </c:pt>
                <c:pt idx="14">
                  <c:v>2023.00473099274</c:v>
                </c:pt>
                <c:pt idx="15">
                  <c:v>2022.5256018181653</c:v>
                </c:pt>
                <c:pt idx="16">
                  <c:v>2022.1149407263281</c:v>
                </c:pt>
                <c:pt idx="17">
                  <c:v>2021.760153958433</c:v>
                </c:pt>
                <c:pt idx="18">
                  <c:v>2021.4514862847936</c:v>
                </c:pt>
                <c:pt idx="19">
                  <c:v>2021.1812701942852</c:v>
                </c:pt>
                <c:pt idx="20">
                  <c:v>2020.9434007602197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D1-754B-90A5-1766B70999B8}"/>
            </c:ext>
          </c:extLst>
        </c:ser>
        <c:ser>
          <c:idx val="2"/>
          <c:order val="2"/>
          <c:tx>
            <c:strRef>
              <c:f>'Historical responsibility C+T'!$T$37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C+T'!$V$37:$AP$37</c:f>
              <c:numCache>
                <c:formatCode>General</c:formatCode>
                <c:ptCount val="21"/>
                <c:pt idx="0">
                  <c:v>109560082.58777</c:v>
                </c:pt>
                <c:pt idx="1">
                  <c:v>2242.1194895502144</c:v>
                </c:pt>
                <c:pt idx="2">
                  <c:v>2132.4377829565665</c:v>
                </c:pt>
                <c:pt idx="3">
                  <c:v>2095.8021917025071</c:v>
                </c:pt>
                <c:pt idx="4">
                  <c:v>2077.4330394995832</c:v>
                </c:pt>
                <c:pt idx="5">
                  <c:v>2066.3739469449652</c:v>
                </c:pt>
                <c:pt idx="6">
                  <c:v>2058.9724683224958</c:v>
                </c:pt>
                <c:pt idx="7">
                  <c:v>2053.6630327174516</c:v>
                </c:pt>
                <c:pt idx="8">
                  <c:v>2049.6626742876592</c:v>
                </c:pt>
                <c:pt idx="9">
                  <c:v>2046.5362720272997</c:v>
                </c:pt>
                <c:pt idx="10">
                  <c:v>2044.0226429495631</c:v>
                </c:pt>
                <c:pt idx="11">
                  <c:v>2041.9554914767405</c:v>
                </c:pt>
                <c:pt idx="12">
                  <c:v>2040.2238825614829</c:v>
                </c:pt>
                <c:pt idx="13">
                  <c:v>2038.7509567645673</c:v>
                </c:pt>
                <c:pt idx="14">
                  <c:v>2037.4817664893637</c:v>
                </c:pt>
                <c:pt idx="15">
                  <c:v>2036.3759769703959</c:v>
                </c:pt>
                <c:pt idx="16">
                  <c:v>2035.4033037925024</c:v>
                </c:pt>
                <c:pt idx="17">
                  <c:v>2034.5405602171386</c:v>
                </c:pt>
                <c:pt idx="18">
                  <c:v>2033.7696883453298</c:v>
                </c:pt>
                <c:pt idx="19">
                  <c:v>2033.0764117032402</c:v>
                </c:pt>
                <c:pt idx="20">
                  <c:v>2032.4492917940786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D1-754B-90A5-1766B70999B8}"/>
            </c:ext>
          </c:extLst>
        </c:ser>
        <c:ser>
          <c:idx val="3"/>
          <c:order val="3"/>
          <c:tx>
            <c:strRef>
              <c:f>'Historical responsibility C+T'!$T$38</c:f>
              <c:strCache>
                <c:ptCount val="1"/>
                <c:pt idx="0">
                  <c:v>Inget historiskt ansvar - lika per capita utsläpp per år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C+T'!$V$38:$AP$38</c:f>
              <c:numCache>
                <c:formatCode>General</c:formatCode>
                <c:ptCount val="21"/>
                <c:pt idx="0">
                  <c:v>85114877.034724802</c:v>
                </c:pt>
                <c:pt idx="1">
                  <c:v>2208.0154486918832</c:v>
                </c:pt>
                <c:pt idx="2">
                  <c:v>2122.3222737126384</c:v>
                </c:pt>
                <c:pt idx="3">
                  <c:v>2093.4057653800382</c:v>
                </c:pt>
                <c:pt idx="4">
                  <c:v>2078.706469749302</c:v>
                </c:pt>
                <c:pt idx="5">
                  <c:v>2069.7104114416661</c:v>
                </c:pt>
                <c:pt idx="6">
                  <c:v>2063.5781002750355</c:v>
                </c:pt>
                <c:pt idx="7">
                  <c:v>2059.0914993583301</c:v>
                </c:pt>
                <c:pt idx="8">
                  <c:v>2055.6407436120935</c:v>
                </c:pt>
                <c:pt idx="9">
                  <c:v>2052.8863620976499</c:v>
                </c:pt>
                <c:pt idx="10">
                  <c:v>2050.624154169031</c:v>
                </c:pt>
                <c:pt idx="11">
                  <c:v>2048.7237598895499</c:v>
                </c:pt>
                <c:pt idx="12">
                  <c:v>2047.0979378535317</c:v>
                </c:pt>
                <c:pt idx="13">
                  <c:v>2045.6860167568875</c:v>
                </c:pt>
                <c:pt idx="14">
                  <c:v>2044.444434679637</c:v>
                </c:pt>
                <c:pt idx="15">
                  <c:v>2043.3410591253523</c:v>
                </c:pt>
                <c:pt idx="16">
                  <c:v>2042.3516342358853</c:v>
                </c:pt>
                <c:pt idx="17">
                  <c:v>2041.457479676412</c:v>
                </c:pt>
                <c:pt idx="18">
                  <c:v>2040.6439547381342</c:v>
                </c:pt>
                <c:pt idx="19">
                  <c:v>2039.8994059808563</c:v>
                </c:pt>
                <c:pt idx="20">
                  <c:v>2039.2144293718979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D1-754B-90A5-1766B70999B8}"/>
            </c:ext>
          </c:extLst>
        </c:ser>
        <c:ser>
          <c:idx val="4"/>
          <c:order val="4"/>
          <c:tx>
            <c:strRef>
              <c:f>'Historical responsibility C+T'!$T$39</c:f>
              <c:strCache>
                <c:ptCount val="1"/>
                <c:pt idx="0">
                  <c:v>Ekonomisk kapacitet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'Historical responsibility C+T'!$V$19:$AP$19</c:f>
              <c:numCache>
                <c:formatCode>0%</c:formatCode>
                <c:ptCount val="21"/>
                <c:pt idx="0">
                  <c:v>9.9999999999999995E-8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'Historical responsibility C+T'!$V$39:$AP$39</c:f>
              <c:numCache>
                <c:formatCode>General</c:formatCode>
                <c:ptCount val="21"/>
                <c:pt idx="0">
                  <c:v>-135226162.79746678</c:v>
                </c:pt>
                <c:pt idx="1">
                  <c:v>1780.3981594254819</c:v>
                </c:pt>
                <c:pt idx="2">
                  <c:v>1914.6425209717615</c:v>
                </c:pt>
                <c:pt idx="3">
                  <c:v>1958.7936926701598</c:v>
                </c:pt>
                <c:pt idx="4">
                  <c:v>1980.4606372133831</c:v>
                </c:pt>
                <c:pt idx="5">
                  <c:v>1993.1616131027772</c:v>
                </c:pt>
                <c:pt idx="6">
                  <c:v>2001.4001662632186</c:v>
                </c:pt>
                <c:pt idx="7">
                  <c:v>2007.1045017206652</c:v>
                </c:pt>
                <c:pt idx="8">
                  <c:v>2011.2372866765822</c:v>
                </c:pt>
                <c:pt idx="9">
                  <c:v>2014.3322224111103</c:v>
                </c:pt>
                <c:pt idx="10">
                  <c:v>2016.7086513786478</c:v>
                </c:pt>
                <c:pt idx="11">
                  <c:v>2018.5690895236603</c:v>
                </c:pt>
                <c:pt idx="12">
                  <c:v>2020.0479799160398</c:v>
                </c:pt>
                <c:pt idx="13">
                  <c:v>2021.2379350147075</c:v>
                </c:pt>
                <c:pt idx="14">
                  <c:v>2022.2047246652116</c:v>
                </c:pt>
                <c:pt idx="15">
                  <c:v>2022.9962629137051</c:v>
                </c:pt>
                <c:pt idx="16">
                  <c:v>2023.6482200019684</c:v>
                </c:pt>
                <c:pt idx="17">
                  <c:v>2024.1876498372476</c:v>
                </c:pt>
                <c:pt idx="18">
                  <c:v>2024.6354052188763</c:v>
                </c:pt>
                <c:pt idx="19">
                  <c:v>2025.0077878521452</c:v>
                </c:pt>
                <c:pt idx="20">
                  <c:v>2025.3177013051629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D1-754B-90A5-1766B7099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2727248"/>
        <c:axId val="492751360"/>
      </c:lineChart>
      <c:catAx>
        <c:axId val="49272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51360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492751360"/>
        <c:scaling>
          <c:orientation val="minMax"/>
          <c:max val="2060"/>
          <c:min val="20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for net-zero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2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'Net-Zero C+T'!$A$2:$A$42</c:f>
              <c:numCache>
                <c:formatCode>General</c:formatCode>
                <c:ptCount val="4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  <c:pt idx="36">
                  <c:v>2051</c:v>
                </c:pt>
                <c:pt idx="37">
                  <c:v>2052</c:v>
                </c:pt>
                <c:pt idx="38">
                  <c:v>2053</c:v>
                </c:pt>
                <c:pt idx="39">
                  <c:v>2054</c:v>
                </c:pt>
                <c:pt idx="40">
                  <c:v>2055</c:v>
                </c:pt>
              </c:numCache>
            </c:numRef>
          </c:cat>
          <c:val>
            <c:numRef>
              <c:f>'Net-Zero C+T'!$B$2:$B$42</c:f>
              <c:numCache>
                <c:formatCode>General</c:formatCode>
                <c:ptCount val="41"/>
                <c:pt idx="0">
                  <c:v>52.581282788369087</c:v>
                </c:pt>
                <c:pt idx="1">
                  <c:v>52.103584601349105</c:v>
                </c:pt>
                <c:pt idx="2">
                  <c:v>51.856184233007021</c:v>
                </c:pt>
                <c:pt idx="3">
                  <c:v>51.689348492196842</c:v>
                </c:pt>
                <c:pt idx="4">
                  <c:v>49.867360532303529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0-044A-BA4A-77E9D771C54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'Net-Zero C+T'!$A$2:$A$42</c:f>
              <c:numCache>
                <c:formatCode>General</c:formatCode>
                <c:ptCount val="4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  <c:pt idx="36">
                  <c:v>2051</c:v>
                </c:pt>
                <c:pt idx="37">
                  <c:v>2052</c:v>
                </c:pt>
                <c:pt idx="38">
                  <c:v>2053</c:v>
                </c:pt>
                <c:pt idx="39">
                  <c:v>2054</c:v>
                </c:pt>
                <c:pt idx="40">
                  <c:v>2055</c:v>
                </c:pt>
              </c:numCache>
            </c:numRef>
          </c:cat>
          <c:val>
            <c:numRef>
              <c:f>'Net-Zero C+T'!$C$2:$C$42</c:f>
              <c:numCache>
                <c:formatCode>General</c:formatCode>
                <c:ptCount val="41"/>
                <c:pt idx="4">
                  <c:v>49.867360532303529</c:v>
                </c:pt>
                <c:pt idx="5">
                  <c:v>44.073635815925087</c:v>
                </c:pt>
                <c:pt idx="6">
                  <c:v>38.279911099546645</c:v>
                </c:pt>
                <c:pt idx="7">
                  <c:v>32.486186383168203</c:v>
                </c:pt>
                <c:pt idx="8">
                  <c:v>26.692461666789757</c:v>
                </c:pt>
                <c:pt idx="9">
                  <c:v>20.898736950411315</c:v>
                </c:pt>
                <c:pt idx="10">
                  <c:v>15.10501223403287</c:v>
                </c:pt>
                <c:pt idx="11">
                  <c:v>9.3112875176544279</c:v>
                </c:pt>
                <c:pt idx="12">
                  <c:v>3.5175628012759859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F0-044A-BA4A-77E9D771C54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'Net-Zero C+T'!$A$2:$A$42</c:f>
              <c:numCache>
                <c:formatCode>General</c:formatCode>
                <c:ptCount val="4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  <c:pt idx="36">
                  <c:v>2051</c:v>
                </c:pt>
                <c:pt idx="37">
                  <c:v>2052</c:v>
                </c:pt>
                <c:pt idx="38">
                  <c:v>2053</c:v>
                </c:pt>
                <c:pt idx="39">
                  <c:v>2054</c:v>
                </c:pt>
                <c:pt idx="40">
                  <c:v>2055</c:v>
                </c:pt>
              </c:numCache>
            </c:numRef>
          </c:cat>
          <c:val>
            <c:numRef>
              <c:f>'Net-Zero C+T'!$D$2:$D$42</c:f>
              <c:numCache>
                <c:formatCode>General</c:formatCode>
                <c:ptCount val="41"/>
                <c:pt idx="4">
                  <c:v>49.867360532303529</c:v>
                </c:pt>
                <c:pt idx="5">
                  <c:v>48.019242745239247</c:v>
                </c:pt>
                <c:pt idx="6">
                  <c:v>46.171124958174971</c:v>
                </c:pt>
                <c:pt idx="7">
                  <c:v>44.323007171110689</c:v>
                </c:pt>
                <c:pt idx="8">
                  <c:v>42.474889384046413</c:v>
                </c:pt>
                <c:pt idx="9">
                  <c:v>40.626771596982131</c:v>
                </c:pt>
                <c:pt idx="10">
                  <c:v>38.778653809917856</c:v>
                </c:pt>
                <c:pt idx="11">
                  <c:v>36.930536022853573</c:v>
                </c:pt>
                <c:pt idx="12">
                  <c:v>35.082418235789298</c:v>
                </c:pt>
                <c:pt idx="13">
                  <c:v>33.234300448725016</c:v>
                </c:pt>
                <c:pt idx="14">
                  <c:v>31.386182661660737</c:v>
                </c:pt>
                <c:pt idx="15">
                  <c:v>29.538064874596458</c:v>
                </c:pt>
                <c:pt idx="16">
                  <c:v>27.689947087532179</c:v>
                </c:pt>
                <c:pt idx="17">
                  <c:v>25.8418293004679</c:v>
                </c:pt>
                <c:pt idx="18">
                  <c:v>23.993711513403621</c:v>
                </c:pt>
                <c:pt idx="19">
                  <c:v>22.145593726339342</c:v>
                </c:pt>
                <c:pt idx="20">
                  <c:v>20.297475939275063</c:v>
                </c:pt>
                <c:pt idx="21">
                  <c:v>18.449358152210785</c:v>
                </c:pt>
                <c:pt idx="22">
                  <c:v>16.601240365146502</c:v>
                </c:pt>
                <c:pt idx="23">
                  <c:v>14.753122578082227</c:v>
                </c:pt>
                <c:pt idx="24">
                  <c:v>12.905004791017944</c:v>
                </c:pt>
                <c:pt idx="25">
                  <c:v>11.056887003953669</c:v>
                </c:pt>
                <c:pt idx="26">
                  <c:v>9.2087692168893867</c:v>
                </c:pt>
                <c:pt idx="27">
                  <c:v>7.3606514298251113</c:v>
                </c:pt>
                <c:pt idx="28">
                  <c:v>5.5125336427608289</c:v>
                </c:pt>
                <c:pt idx="29">
                  <c:v>3.6644158556965536</c:v>
                </c:pt>
                <c:pt idx="30">
                  <c:v>1.8162980686322712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F0-044A-BA4A-77E9D771C54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'Net-Zero C+T'!$A$2:$A$42</c:f>
              <c:numCache>
                <c:formatCode>General</c:formatCode>
                <c:ptCount val="4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  <c:pt idx="36">
                  <c:v>2051</c:v>
                </c:pt>
                <c:pt idx="37">
                  <c:v>2052</c:v>
                </c:pt>
                <c:pt idx="38">
                  <c:v>2053</c:v>
                </c:pt>
                <c:pt idx="39">
                  <c:v>2054</c:v>
                </c:pt>
                <c:pt idx="40">
                  <c:v>2055</c:v>
                </c:pt>
              </c:numCache>
            </c:numRef>
          </c:cat>
          <c:val>
            <c:numRef>
              <c:f>'Net-Zero C+T'!$E$2:$E$42</c:f>
              <c:numCache>
                <c:formatCode>General</c:formatCode>
                <c:ptCount val="41"/>
                <c:pt idx="4">
                  <c:v>49.867360532303529</c:v>
                </c:pt>
                <c:pt idx="5">
                  <c:v>42.55105158506035</c:v>
                </c:pt>
                <c:pt idx="6">
                  <c:v>35.234742637817163</c:v>
                </c:pt>
                <c:pt idx="7">
                  <c:v>27.918433690573984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F0-044A-BA4A-77E9D771C54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'Net-Zero C+T'!$A$2:$A$42</c:f>
              <c:numCache>
                <c:formatCode>General</c:formatCode>
                <c:ptCount val="4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  <c:pt idx="36">
                  <c:v>2051</c:v>
                </c:pt>
                <c:pt idx="37">
                  <c:v>2052</c:v>
                </c:pt>
                <c:pt idx="38">
                  <c:v>2053</c:v>
                </c:pt>
                <c:pt idx="39">
                  <c:v>2054</c:v>
                </c:pt>
                <c:pt idx="40">
                  <c:v>2055</c:v>
                </c:pt>
              </c:numCache>
            </c:numRef>
          </c:cat>
          <c:val>
            <c:numRef>
              <c:f>'Net-Zero C+T'!$F$2:$F$42</c:f>
              <c:numCache>
                <c:formatCode>General</c:formatCode>
                <c:ptCount val="41"/>
                <c:pt idx="4">
                  <c:v>49.867360532303529</c:v>
                </c:pt>
                <c:pt idx="5">
                  <c:v>47.010961002233344</c:v>
                </c:pt>
                <c:pt idx="6">
                  <c:v>44.154561472163159</c:v>
                </c:pt>
                <c:pt idx="7">
                  <c:v>41.298161942092975</c:v>
                </c:pt>
                <c:pt idx="8">
                  <c:v>38.44176241202279</c:v>
                </c:pt>
                <c:pt idx="9">
                  <c:v>35.585362881952605</c:v>
                </c:pt>
                <c:pt idx="10">
                  <c:v>32.728963351882427</c:v>
                </c:pt>
                <c:pt idx="11">
                  <c:v>29.872563821812239</c:v>
                </c:pt>
                <c:pt idx="12">
                  <c:v>27.016164291742054</c:v>
                </c:pt>
                <c:pt idx="13">
                  <c:v>24.15976476167187</c:v>
                </c:pt>
                <c:pt idx="14">
                  <c:v>21.303365231601685</c:v>
                </c:pt>
                <c:pt idx="15">
                  <c:v>18.4469657015315</c:v>
                </c:pt>
                <c:pt idx="16">
                  <c:v>15.590566171461319</c:v>
                </c:pt>
                <c:pt idx="17">
                  <c:v>12.734166641391134</c:v>
                </c:pt>
                <c:pt idx="18">
                  <c:v>9.8777671113209493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F0-044A-BA4A-77E9D771C541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'Net-Zero C+T'!$A$2:$A$42</c:f>
              <c:numCache>
                <c:formatCode>General</c:formatCode>
                <c:ptCount val="4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  <c:pt idx="36">
                  <c:v>2051</c:v>
                </c:pt>
                <c:pt idx="37">
                  <c:v>2052</c:v>
                </c:pt>
                <c:pt idx="38">
                  <c:v>2053</c:v>
                </c:pt>
                <c:pt idx="39">
                  <c:v>2054</c:v>
                </c:pt>
                <c:pt idx="40">
                  <c:v>2055</c:v>
                </c:pt>
              </c:numCache>
            </c:numRef>
          </c:cat>
          <c:val>
            <c:numRef>
              <c:f>'Net-Zero C+T'!$G$2:$G$42</c:f>
              <c:numCache>
                <c:formatCode>General</c:formatCode>
                <c:ptCount val="41"/>
                <c:pt idx="4">
                  <c:v>49.867360532303529</c:v>
                </c:pt>
                <c:pt idx="5">
                  <c:v>47.895286975911546</c:v>
                </c:pt>
                <c:pt idx="6">
                  <c:v>45.923213419519563</c:v>
                </c:pt>
                <c:pt idx="7">
                  <c:v>43.95113986312758</c:v>
                </c:pt>
                <c:pt idx="8">
                  <c:v>41.979066306735596</c:v>
                </c:pt>
                <c:pt idx="9">
                  <c:v>40.006992750343613</c:v>
                </c:pt>
                <c:pt idx="10">
                  <c:v>38.034919193951623</c:v>
                </c:pt>
                <c:pt idx="11">
                  <c:v>36.062845637559647</c:v>
                </c:pt>
                <c:pt idx="12">
                  <c:v>34.090772081167657</c:v>
                </c:pt>
                <c:pt idx="13">
                  <c:v>32.118698524775681</c:v>
                </c:pt>
                <c:pt idx="14">
                  <c:v>30.146624968383694</c:v>
                </c:pt>
                <c:pt idx="15">
                  <c:v>28.174551411991711</c:v>
                </c:pt>
                <c:pt idx="16">
                  <c:v>26.202477855599724</c:v>
                </c:pt>
                <c:pt idx="17">
                  <c:v>24.230404299207741</c:v>
                </c:pt>
                <c:pt idx="18">
                  <c:v>22.258330742815758</c:v>
                </c:pt>
                <c:pt idx="19">
                  <c:v>20.286257186423775</c:v>
                </c:pt>
                <c:pt idx="20">
                  <c:v>18.314183630031792</c:v>
                </c:pt>
                <c:pt idx="21">
                  <c:v>16.342110073639809</c:v>
                </c:pt>
                <c:pt idx="22">
                  <c:v>14.370036517247826</c:v>
                </c:pt>
                <c:pt idx="23">
                  <c:v>12.397962960855843</c:v>
                </c:pt>
                <c:pt idx="24">
                  <c:v>10.425889404463859</c:v>
                </c:pt>
                <c:pt idx="25">
                  <c:v>8.4538158480718764</c:v>
                </c:pt>
                <c:pt idx="26">
                  <c:v>6.4817422916798932</c:v>
                </c:pt>
                <c:pt idx="27">
                  <c:v>4.5096687352879101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F0-044A-BA4A-77E9D771C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245264"/>
        <c:axId val="922595008"/>
      </c:lineChart>
      <c:catAx>
        <c:axId val="46324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595008"/>
        <c:crosses val="autoZero"/>
        <c:auto val="1"/>
        <c:lblAlgn val="ctr"/>
        <c:lblOffset val="100"/>
        <c:noMultiLvlLbl val="0"/>
      </c:catAx>
      <c:valAx>
        <c:axId val="92259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4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 vs C over time'!$B$1</c:f>
              <c:strCache>
                <c:ptCount val="1"/>
                <c:pt idx="0">
                  <c:v>Swedish territorial emissions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'T vs C over time'!$A$2:$A$31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cat>
          <c:val>
            <c:numRef>
              <c:f>'T vs C over time'!$B$2:$B$31</c:f>
              <c:numCache>
                <c:formatCode>General</c:formatCode>
                <c:ptCount val="30"/>
                <c:pt idx="0">
                  <c:v>57.420097830394205</c:v>
                </c:pt>
                <c:pt idx="1">
                  <c:v>57.794889745232204</c:v>
                </c:pt>
                <c:pt idx="2">
                  <c:v>57.537000409425161</c:v>
                </c:pt>
                <c:pt idx="3">
                  <c:v>57.578112579168874</c:v>
                </c:pt>
                <c:pt idx="4">
                  <c:v>60.043421746156561</c:v>
                </c:pt>
                <c:pt idx="5">
                  <c:v>59.457666012279695</c:v>
                </c:pt>
                <c:pt idx="6">
                  <c:v>63.396057101252694</c:v>
                </c:pt>
                <c:pt idx="7">
                  <c:v>58.293593135306473</c:v>
                </c:pt>
                <c:pt idx="8">
                  <c:v>58.764596063465966</c:v>
                </c:pt>
                <c:pt idx="9">
                  <c:v>55.898027594521203</c:v>
                </c:pt>
                <c:pt idx="10">
                  <c:v>54.749620858610335</c:v>
                </c:pt>
                <c:pt idx="11">
                  <c:v>55.678141695390501</c:v>
                </c:pt>
                <c:pt idx="12">
                  <c:v>56.648193164731303</c:v>
                </c:pt>
                <c:pt idx="13">
                  <c:v>57.229974154314128</c:v>
                </c:pt>
                <c:pt idx="14">
                  <c:v>56.542300971483797</c:v>
                </c:pt>
                <c:pt idx="15">
                  <c:v>53.923633622090101</c:v>
                </c:pt>
                <c:pt idx="16">
                  <c:v>53.741723669100871</c:v>
                </c:pt>
                <c:pt idx="17">
                  <c:v>53.008743289656735</c:v>
                </c:pt>
                <c:pt idx="18">
                  <c:v>50.923874711280632</c:v>
                </c:pt>
                <c:pt idx="19">
                  <c:v>47.28659147108673</c:v>
                </c:pt>
                <c:pt idx="20">
                  <c:v>53.165018639947498</c:v>
                </c:pt>
                <c:pt idx="21">
                  <c:v>49.293118701494798</c:v>
                </c:pt>
                <c:pt idx="22">
                  <c:v>46.80789296237193</c:v>
                </c:pt>
                <c:pt idx="23">
                  <c:v>45.238897173100405</c:v>
                </c:pt>
                <c:pt idx="24">
                  <c:v>43.367483821846065</c:v>
                </c:pt>
                <c:pt idx="25">
                  <c:v>43.634334583385339</c:v>
                </c:pt>
                <c:pt idx="26">
                  <c:v>43.293494864515132</c:v>
                </c:pt>
                <c:pt idx="27">
                  <c:v>42.624727784158665</c:v>
                </c:pt>
                <c:pt idx="28">
                  <c:v>42.126045169043735</c:v>
                </c:pt>
                <c:pt idx="29">
                  <c:v>40.966660509600835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27-7D43-A659-75889ECAC3DD}"/>
            </c:ext>
          </c:extLst>
        </c:ser>
        <c:ser>
          <c:idx val="1"/>
          <c:order val="1"/>
          <c:tx>
            <c:strRef>
              <c:f>'T vs C over time'!$C$1</c:f>
              <c:strCache>
                <c:ptCount val="1"/>
                <c:pt idx="0">
                  <c:v>Swedish consumption-based emissions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 vs C over time'!$A$2:$A$31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cat>
          <c:val>
            <c:numRef>
              <c:f>'T vs C over time'!$C$2:$C$31</c:f>
              <c:numCache>
                <c:formatCode>General</c:formatCode>
                <c:ptCount val="30"/>
                <c:pt idx="0">
                  <c:v>85.041929692746763</c:v>
                </c:pt>
                <c:pt idx="1">
                  <c:v>84.168501180821934</c:v>
                </c:pt>
                <c:pt idx="2">
                  <c:v>93.148868423455539</c:v>
                </c:pt>
                <c:pt idx="3">
                  <c:v>86.544269555664798</c:v>
                </c:pt>
                <c:pt idx="4">
                  <c:v>85.744979124245845</c:v>
                </c:pt>
                <c:pt idx="5">
                  <c:v>84.770551730889196</c:v>
                </c:pt>
                <c:pt idx="6">
                  <c:v>89.391326781073531</c:v>
                </c:pt>
                <c:pt idx="7">
                  <c:v>84.196736163309012</c:v>
                </c:pt>
                <c:pt idx="8">
                  <c:v>85.023386438530096</c:v>
                </c:pt>
                <c:pt idx="9">
                  <c:v>80.600045909761036</c:v>
                </c:pt>
                <c:pt idx="10">
                  <c:v>82.368268265198665</c:v>
                </c:pt>
                <c:pt idx="11">
                  <c:v>78.178496619011796</c:v>
                </c:pt>
                <c:pt idx="12">
                  <c:v>80.746754617026298</c:v>
                </c:pt>
                <c:pt idx="13">
                  <c:v>86.387879403636077</c:v>
                </c:pt>
                <c:pt idx="14">
                  <c:v>87.889742504733405</c:v>
                </c:pt>
                <c:pt idx="15">
                  <c:v>86.40837488830762</c:v>
                </c:pt>
                <c:pt idx="16">
                  <c:v>88.948022942156399</c:v>
                </c:pt>
                <c:pt idx="17">
                  <c:v>91.220350171564903</c:v>
                </c:pt>
                <c:pt idx="18">
                  <c:v>87.540189707541629</c:v>
                </c:pt>
                <c:pt idx="19">
                  <c:v>74.584599257321258</c:v>
                </c:pt>
                <c:pt idx="20">
                  <c:v>86.428034862437414</c:v>
                </c:pt>
                <c:pt idx="21">
                  <c:v>82.992831282385211</c:v>
                </c:pt>
                <c:pt idx="22">
                  <c:v>78.569558632992894</c:v>
                </c:pt>
                <c:pt idx="23">
                  <c:v>74.931324057396765</c:v>
                </c:pt>
                <c:pt idx="24">
                  <c:v>72.235854091062933</c:v>
                </c:pt>
                <c:pt idx="25">
                  <c:v>70.746298840911834</c:v>
                </c:pt>
                <c:pt idx="26">
                  <c:v>69.990736491284764</c:v>
                </c:pt>
                <c:pt idx="27">
                  <c:v>70.598838235214302</c:v>
                </c:pt>
                <c:pt idx="28">
                  <c:v>71.105752208901663</c:v>
                </c:pt>
                <c:pt idx="29">
                  <c:v>67.938478760215062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27-7D43-A659-75889ECAC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5356415"/>
        <c:axId val="1325359663"/>
      </c:lineChart>
      <c:lineChart>
        <c:grouping val="standard"/>
        <c:varyColors val="0"/>
        <c:ser>
          <c:idx val="2"/>
          <c:order val="2"/>
          <c:tx>
            <c:strRef>
              <c:f>'T vs C over time'!$D$1</c:f>
              <c:strCache>
                <c:ptCount val="1"/>
                <c:pt idx="0">
                  <c:v>Net-imports for consumption in Sweden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 vs C over time'!$A$2:$A$31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cat>
          <c:val>
            <c:numRef>
              <c:f>'T vs C over time'!$D$2:$D$31</c:f>
              <c:numCache>
                <c:formatCode>General</c:formatCode>
                <c:ptCount val="30"/>
                <c:pt idx="0">
                  <c:v>27.621831862352558</c:v>
                </c:pt>
                <c:pt idx="1">
                  <c:v>26.37361143558973</c:v>
                </c:pt>
                <c:pt idx="2">
                  <c:v>35.611868014030378</c:v>
                </c:pt>
                <c:pt idx="3">
                  <c:v>28.966156976495924</c:v>
                </c:pt>
                <c:pt idx="4">
                  <c:v>25.701557378089284</c:v>
                </c:pt>
                <c:pt idx="5">
                  <c:v>25.3128857186095</c:v>
                </c:pt>
                <c:pt idx="6">
                  <c:v>25.995269679820836</c:v>
                </c:pt>
                <c:pt idx="7">
                  <c:v>25.903143028002539</c:v>
                </c:pt>
                <c:pt idx="8">
                  <c:v>26.25879037506413</c:v>
                </c:pt>
                <c:pt idx="9">
                  <c:v>24.702018315239833</c:v>
                </c:pt>
                <c:pt idx="10">
                  <c:v>27.61864740658833</c:v>
                </c:pt>
                <c:pt idx="11">
                  <c:v>22.500354923621295</c:v>
                </c:pt>
                <c:pt idx="12">
                  <c:v>24.098561452294994</c:v>
                </c:pt>
                <c:pt idx="13">
                  <c:v>29.157905249321949</c:v>
                </c:pt>
                <c:pt idx="14">
                  <c:v>31.347441533249608</c:v>
                </c:pt>
                <c:pt idx="15">
                  <c:v>32.484741266217519</c:v>
                </c:pt>
                <c:pt idx="16">
                  <c:v>35.206299273055528</c:v>
                </c:pt>
                <c:pt idx="17">
                  <c:v>38.211606881908168</c:v>
                </c:pt>
                <c:pt idx="18">
                  <c:v>36.616314996260996</c:v>
                </c:pt>
                <c:pt idx="19">
                  <c:v>27.298007786234528</c:v>
                </c:pt>
                <c:pt idx="20">
                  <c:v>33.263016222489917</c:v>
                </c:pt>
                <c:pt idx="21">
                  <c:v>33.699712580890413</c:v>
                </c:pt>
                <c:pt idx="22">
                  <c:v>31.761665670620964</c:v>
                </c:pt>
                <c:pt idx="23">
                  <c:v>29.69242688429636</c:v>
                </c:pt>
                <c:pt idx="24">
                  <c:v>28.868370269216868</c:v>
                </c:pt>
                <c:pt idx="25">
                  <c:v>27.111964257526495</c:v>
                </c:pt>
                <c:pt idx="26">
                  <c:v>26.697241626769632</c:v>
                </c:pt>
                <c:pt idx="27">
                  <c:v>27.974110451055637</c:v>
                </c:pt>
                <c:pt idx="28">
                  <c:v>28.979707039857928</c:v>
                </c:pt>
                <c:pt idx="29">
                  <c:v>26.971818250614227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27-7D43-A659-75889ECAC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4801295"/>
        <c:axId val="1319515071"/>
      </c:lineChart>
      <c:catAx>
        <c:axId val="1325356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359663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32535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356415"/>
        <c:crosses val="autoZero"/>
        <c:crossBetween val="midCat"/>
      </c:valAx>
      <c:valAx>
        <c:axId val="13195150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801295"/>
        <c:crosses val="max"/>
        <c:crossBetween val="between"/>
      </c:valAx>
      <c:catAx>
        <c:axId val="1324801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95150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</xdr:colOff>
      <xdr:row>119</xdr:row>
      <xdr:rowOff>69850</xdr:rowOff>
    </xdr:from>
    <xdr:to>
      <xdr:col>13</xdr:col>
      <xdr:colOff>330200</xdr:colOff>
      <xdr:row>137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C954A-7F8A-4666-8D46-AABB165B1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377825</xdr:colOff>
      <xdr:row>83</xdr:row>
      <xdr:rowOff>44450</xdr:rowOff>
    </xdr:from>
    <xdr:to>
      <xdr:col>12</xdr:col>
      <xdr:colOff>1460500</xdr:colOff>
      <xdr:row>101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B60503-7DD6-7F47-A433-0C6F906D2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90</xdr:row>
      <xdr:rowOff>158750</xdr:rowOff>
    </xdr:from>
    <xdr:to>
      <xdr:col>12</xdr:col>
      <xdr:colOff>1320800</xdr:colOff>
      <xdr:row>108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33D1D0-A8D0-854B-A782-9166CFDDF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349250</xdr:colOff>
      <xdr:row>39</xdr:row>
      <xdr:rowOff>177800</xdr:rowOff>
    </xdr:from>
    <xdr:to>
      <xdr:col>28</xdr:col>
      <xdr:colOff>114300</xdr:colOff>
      <xdr:row>63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7FD87B-FB96-70FA-D79C-D4CD0BA71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127000</xdr:colOff>
      <xdr:row>39</xdr:row>
      <xdr:rowOff>177800</xdr:rowOff>
    </xdr:from>
    <xdr:to>
      <xdr:col>43</xdr:col>
      <xdr:colOff>247650</xdr:colOff>
      <xdr:row>63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1B0DA4-0A46-4147-9230-28DE6A913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355600</xdr:colOff>
      <xdr:row>63</xdr:row>
      <xdr:rowOff>177800</xdr:rowOff>
    </xdr:from>
    <xdr:to>
      <xdr:col>28</xdr:col>
      <xdr:colOff>120650</xdr:colOff>
      <xdr:row>84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6D1F1E-643E-E644-9C56-44E461B6A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133350</xdr:colOff>
      <xdr:row>63</xdr:row>
      <xdr:rowOff>177800</xdr:rowOff>
    </xdr:from>
    <xdr:to>
      <xdr:col>43</xdr:col>
      <xdr:colOff>254000</xdr:colOff>
      <xdr:row>84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4DB0AC-6A99-A349-9E49-2623E520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0.11302</cdr:x>
      <cdr:y>0.68717</cdr:y>
    </cdr:from>
    <cdr:to>
      <cdr:x>0.45102</cdr:x>
      <cdr:y>0.73797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A2DDC76-2297-3D02-D674-0ACEA2CD4C1C}"/>
            </a:ext>
          </a:extLst>
        </cdr:cNvPr>
        <cdr:cNvSpPr txBox="1"/>
      </cdr:nvSpPr>
      <cdr:spPr>
        <a:xfrm xmlns:a="http://schemas.openxmlformats.org/drawingml/2006/main">
          <a:off x="666750" y="3263900"/>
          <a:ext cx="1993900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Mainly</a:t>
          </a:r>
          <a:r>
            <a:rPr lang="en-US" sz="1100" baseline="0"/>
            <a:t> producer responsibility</a:t>
          </a:r>
          <a:endParaRPr lang="en-US" sz="1100"/>
        </a:p>
      </cdr:txBody>
    </cdr:sp>
  </cdr:relSizeAnchor>
  <cdr:relSizeAnchor xmlns:cdr="http://schemas.openxmlformats.org/drawingml/2006/chartDrawing">
    <cdr:from>
      <cdr:x>0.662</cdr:x>
      <cdr:y>0.68449</cdr:y>
    </cdr:from>
    <cdr:to>
      <cdr:x>1</cdr:x>
      <cdr:y>0.73529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F9B8AAA-5BD0-23F8-29B0-17B03475F038}"/>
            </a:ext>
          </a:extLst>
        </cdr:cNvPr>
        <cdr:cNvSpPr txBox="1"/>
      </cdr:nvSpPr>
      <cdr:spPr>
        <a:xfrm xmlns:a="http://schemas.openxmlformats.org/drawingml/2006/main">
          <a:off x="3905250" y="3251200"/>
          <a:ext cx="1993900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Mainly</a:t>
          </a:r>
          <a:r>
            <a:rPr lang="en-US" sz="1100" baseline="0"/>
            <a:t> consumer responsibility</a:t>
          </a:r>
          <a:endParaRPr lang="en-US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0.08611</cdr:x>
      <cdr:y>0.68717</cdr:y>
    </cdr:from>
    <cdr:to>
      <cdr:x>0.42411</cdr:x>
      <cdr:y>0.73797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B3CE55F-7AD2-C61D-EB13-0CCFE868868F}"/>
            </a:ext>
          </a:extLst>
        </cdr:cNvPr>
        <cdr:cNvSpPr txBox="1"/>
      </cdr:nvSpPr>
      <cdr:spPr>
        <a:xfrm xmlns:a="http://schemas.openxmlformats.org/drawingml/2006/main">
          <a:off x="508000" y="3263900"/>
          <a:ext cx="1993900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Mainly</a:t>
          </a:r>
          <a:r>
            <a:rPr lang="en-US" sz="1100" baseline="0"/>
            <a:t> producer responsibility</a:t>
          </a:r>
          <a:endParaRPr lang="en-US" sz="1100"/>
        </a:p>
      </cdr:txBody>
    </cdr:sp>
  </cdr:relSizeAnchor>
  <cdr:relSizeAnchor xmlns:cdr="http://schemas.openxmlformats.org/drawingml/2006/chartDrawing">
    <cdr:from>
      <cdr:x>0.66093</cdr:x>
      <cdr:y>0.68449</cdr:y>
    </cdr:from>
    <cdr:to>
      <cdr:x>0.99892</cdr:x>
      <cdr:y>0.73529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3EE661C-50A0-7AB8-A458-E44A8B9385A1}"/>
            </a:ext>
          </a:extLst>
        </cdr:cNvPr>
        <cdr:cNvSpPr txBox="1"/>
      </cdr:nvSpPr>
      <cdr:spPr>
        <a:xfrm xmlns:a="http://schemas.openxmlformats.org/drawingml/2006/main">
          <a:off x="3898900" y="3251200"/>
          <a:ext cx="1993900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Mainly</a:t>
          </a:r>
          <a:r>
            <a:rPr lang="en-US" sz="1100" baseline="0"/>
            <a:t> consumer responsibility</a:t>
          </a:r>
          <a:endParaRPr lang="en-US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0.11302</cdr:x>
      <cdr:y>0.68717</cdr:y>
    </cdr:from>
    <cdr:to>
      <cdr:x>0.45102</cdr:x>
      <cdr:y>0.73797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A2DDC76-2297-3D02-D674-0ACEA2CD4C1C}"/>
            </a:ext>
          </a:extLst>
        </cdr:cNvPr>
        <cdr:cNvSpPr txBox="1"/>
      </cdr:nvSpPr>
      <cdr:spPr>
        <a:xfrm xmlns:a="http://schemas.openxmlformats.org/drawingml/2006/main">
          <a:off x="666750" y="3263900"/>
          <a:ext cx="1993900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Mainly</a:t>
          </a:r>
          <a:r>
            <a:rPr lang="en-US" sz="1100" baseline="0"/>
            <a:t> producer responsibility</a:t>
          </a:r>
          <a:endParaRPr lang="en-US" sz="1100"/>
        </a:p>
      </cdr:txBody>
    </cdr:sp>
  </cdr:relSizeAnchor>
  <cdr:relSizeAnchor xmlns:cdr="http://schemas.openxmlformats.org/drawingml/2006/chartDrawing">
    <cdr:from>
      <cdr:x>0.662</cdr:x>
      <cdr:y>0.68449</cdr:y>
    </cdr:from>
    <cdr:to>
      <cdr:x>1</cdr:x>
      <cdr:y>0.73529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F9B8AAA-5BD0-23F8-29B0-17B03475F038}"/>
            </a:ext>
          </a:extLst>
        </cdr:cNvPr>
        <cdr:cNvSpPr txBox="1"/>
      </cdr:nvSpPr>
      <cdr:spPr>
        <a:xfrm xmlns:a="http://schemas.openxmlformats.org/drawingml/2006/main">
          <a:off x="3905250" y="3251200"/>
          <a:ext cx="1993900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Mainly</a:t>
          </a:r>
          <a:r>
            <a:rPr lang="en-US" sz="1100" baseline="0"/>
            <a:t> consumer responsibility</a:t>
          </a:r>
          <a:endParaRPr lang="en-US" sz="11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0.08611</cdr:x>
      <cdr:y>0.68717</cdr:y>
    </cdr:from>
    <cdr:to>
      <cdr:x>0.42411</cdr:x>
      <cdr:y>0.73797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B3CE55F-7AD2-C61D-EB13-0CCFE868868F}"/>
            </a:ext>
          </a:extLst>
        </cdr:cNvPr>
        <cdr:cNvSpPr txBox="1"/>
      </cdr:nvSpPr>
      <cdr:spPr>
        <a:xfrm xmlns:a="http://schemas.openxmlformats.org/drawingml/2006/main">
          <a:off x="508000" y="3263900"/>
          <a:ext cx="1993900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Mainly</a:t>
          </a:r>
          <a:r>
            <a:rPr lang="en-US" sz="1100" baseline="0"/>
            <a:t> producer responsibility</a:t>
          </a:r>
          <a:endParaRPr lang="en-US" sz="1100"/>
        </a:p>
      </cdr:txBody>
    </cdr:sp>
  </cdr:relSizeAnchor>
  <cdr:relSizeAnchor xmlns:cdr="http://schemas.openxmlformats.org/drawingml/2006/chartDrawing">
    <cdr:from>
      <cdr:x>0.66093</cdr:x>
      <cdr:y>0.68449</cdr:y>
    </cdr:from>
    <cdr:to>
      <cdr:x>0.99892</cdr:x>
      <cdr:y>0.73529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3EE661C-50A0-7AB8-A458-E44A8B9385A1}"/>
            </a:ext>
          </a:extLst>
        </cdr:cNvPr>
        <cdr:cNvSpPr txBox="1"/>
      </cdr:nvSpPr>
      <cdr:spPr>
        <a:xfrm xmlns:a="http://schemas.openxmlformats.org/drawingml/2006/main">
          <a:off x="3898900" y="3251200"/>
          <a:ext cx="1993900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Mainly</a:t>
          </a:r>
          <a:r>
            <a:rPr lang="en-US" sz="1100" baseline="0"/>
            <a:t> consumer responsibility</a:t>
          </a:r>
          <a:endParaRPr lang="en-US" sz="11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14</xdr:row>
      <xdr:rowOff>12700</xdr:rowOff>
    </xdr:from>
    <xdr:to>
      <xdr:col>18</xdr:col>
      <xdr:colOff>317500</xdr:colOff>
      <xdr:row>28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61DC7D-9E16-4539-FA19-1B8F56CA8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120650</xdr:colOff>
      <xdr:row>14</xdr:row>
      <xdr:rowOff>12700</xdr:rowOff>
    </xdr:from>
    <xdr:to>
      <xdr:col>12</xdr:col>
      <xdr:colOff>723900</xdr:colOff>
      <xdr:row>33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10E8F7-2D30-0A94-3F9D-2DFAFC74F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ene.iiasa.ac.at/ar6/" TargetMode="External"/><Relationship Id="rId2" Type="http://schemas.openxmlformats.org/officeDocument/2006/relationships/hyperlink" Target="https://www.scb.se/en/finding-statistics/statistics-by-subject-area/population/population-projections/population-projections/" TargetMode="External"/><Relationship Id="rId1" Type="http://schemas.openxmlformats.org/officeDocument/2006/relationships/hyperlink" Target="https://tntcat.iiasa.ac.at/SspDb/dsd?Action=htmlpage&amp;page=about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essd.copernicus.org/articles/14/1917/2022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ene.iiasa.ac.at/ar6/" TargetMode="External"/><Relationship Id="rId2" Type="http://schemas.openxmlformats.org/officeDocument/2006/relationships/hyperlink" Target="https://www.scb.se/en/finding-statistics/statistics-by-subject-area/population/population-projections/population-projections/" TargetMode="External"/><Relationship Id="rId1" Type="http://schemas.openxmlformats.org/officeDocument/2006/relationships/hyperlink" Target="https://tntcat.iiasa.ac.at/SspDb/dsd?Action=htmlpage&amp;page=about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essd.copernicus.org/articles/14/1917/2022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ene.iiasa.ac.at/ar6/" TargetMode="External"/><Relationship Id="rId2" Type="http://schemas.openxmlformats.org/officeDocument/2006/relationships/hyperlink" Target="https://www.scb.se/en/finding-statistics/statistics-by-subject-area/population/population-projections/population-projections/" TargetMode="External"/><Relationship Id="rId1" Type="http://schemas.openxmlformats.org/officeDocument/2006/relationships/hyperlink" Target="https://tntcat.iiasa.ac.at/SspDb/dsd?Action=htmlpage&amp;page=about" TargetMode="Externa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essd.copernicus.org/articles/14/1917/2022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ene.iiasa.ac.at/ar6/" TargetMode="External"/><Relationship Id="rId2" Type="http://schemas.openxmlformats.org/officeDocument/2006/relationships/hyperlink" Target="https://www.scb.se/en/finding-statistics/statistics-by-subject-area/population/population-projections/population-projections/" TargetMode="External"/><Relationship Id="rId1" Type="http://schemas.openxmlformats.org/officeDocument/2006/relationships/hyperlink" Target="https://tntcat.iiasa.ac.at/SspDb/dsd?Action=htmlpage&amp;page=about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essd.copernicus.org/articles/14/1917/2022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5BCA-7ED5-4378-925C-9ED650578AFD}">
  <dimension ref="A2:X316"/>
  <sheetViews>
    <sheetView topLeftCell="A58" workbookViewId="0">
      <selection activeCell="F106" sqref="F106"/>
    </sheetView>
  </sheetViews>
  <sheetFormatPr baseColWidth="10" defaultColWidth="8.83203125" defaultRowHeight="15"/>
  <cols>
    <col min="2" max="2" width="21.33203125" customWidth="1"/>
    <col min="4" max="4" width="14.1640625" customWidth="1"/>
    <col min="5" max="5" width="11" customWidth="1"/>
    <col min="6" max="6" width="27" customWidth="1"/>
    <col min="9" max="9" width="12.1640625" customWidth="1"/>
    <col min="10" max="10" width="13.33203125" customWidth="1"/>
    <col min="11" max="11" width="14.1640625" customWidth="1"/>
    <col min="12" max="12" width="10.5" customWidth="1"/>
    <col min="13" max="13" width="33.1640625" bestFit="1" customWidth="1"/>
    <col min="14" max="14" width="37.1640625" customWidth="1"/>
    <col min="15" max="15" width="20.83203125" bestFit="1" customWidth="1"/>
    <col min="16" max="16" width="21.1640625" customWidth="1"/>
    <col min="17" max="17" width="11.83203125" customWidth="1"/>
    <col min="18" max="18" width="13.6640625" bestFit="1" customWidth="1"/>
    <col min="19" max="19" width="12.33203125" customWidth="1"/>
    <col min="21" max="21" width="12.33203125" customWidth="1"/>
    <col min="22" max="23" width="10" bestFit="1" customWidth="1"/>
  </cols>
  <sheetData>
    <row r="2" spans="1:19" ht="48">
      <c r="M2" s="28" t="s">
        <v>24</v>
      </c>
      <c r="N2" s="27" t="s">
        <v>45</v>
      </c>
      <c r="O2" s="26" t="s">
        <v>32</v>
      </c>
      <c r="P2" s="25" t="s">
        <v>44</v>
      </c>
    </row>
    <row r="3" spans="1:19" ht="31" customHeight="1">
      <c r="B3" s="20" t="s">
        <v>21</v>
      </c>
      <c r="D3" t="s">
        <v>0</v>
      </c>
      <c r="E3" t="s">
        <v>18</v>
      </c>
      <c r="F3" s="20" t="s">
        <v>33</v>
      </c>
      <c r="G3" s="1"/>
      <c r="H3" s="1"/>
      <c r="I3" s="2"/>
      <c r="K3" s="20" t="s">
        <v>22</v>
      </c>
      <c r="L3" s="20" t="s">
        <v>23</v>
      </c>
      <c r="M3" t="s">
        <v>19</v>
      </c>
      <c r="N3" s="20" t="s">
        <v>20</v>
      </c>
      <c r="O3" t="s">
        <v>16</v>
      </c>
      <c r="P3" t="s">
        <v>10</v>
      </c>
      <c r="R3" t="s">
        <v>3</v>
      </c>
      <c r="S3" t="s">
        <v>17</v>
      </c>
    </row>
    <row r="4" spans="1:19" ht="16">
      <c r="B4" t="s">
        <v>11</v>
      </c>
      <c r="C4" t="s">
        <v>12</v>
      </c>
      <c r="E4" t="s">
        <v>13</v>
      </c>
      <c r="F4" t="s">
        <v>12</v>
      </c>
      <c r="G4" s="2"/>
      <c r="H4" s="2"/>
      <c r="I4" s="2"/>
      <c r="K4" t="s">
        <v>53</v>
      </c>
      <c r="L4" t="s">
        <v>53</v>
      </c>
      <c r="M4" t="s">
        <v>53</v>
      </c>
      <c r="N4" t="s">
        <v>53</v>
      </c>
      <c r="O4" t="s">
        <v>11</v>
      </c>
      <c r="R4" t="s">
        <v>14</v>
      </c>
      <c r="S4" t="s">
        <v>13</v>
      </c>
    </row>
    <row r="5" spans="1:19" ht="16">
      <c r="A5" s="3">
        <v>1959</v>
      </c>
      <c r="B5" s="21">
        <v>11.5688856692913</v>
      </c>
      <c r="C5" s="13">
        <f t="shared" ref="C5:C35" si="0">B5*44/12</f>
        <v>42.419247454068099</v>
      </c>
      <c r="D5" s="23">
        <v>7462823</v>
      </c>
      <c r="E5" s="13">
        <f t="shared" ref="E5:E35" si="1">C5*1000000/D5</f>
        <v>5.6840752425815406</v>
      </c>
      <c r="F5" s="13">
        <f t="shared" ref="F5:F36" si="2">D5*S5/1000000</f>
        <v>38.612322607277164</v>
      </c>
      <c r="G5" s="10"/>
      <c r="H5" s="2"/>
      <c r="I5" s="2"/>
      <c r="J5" s="3">
        <v>1959</v>
      </c>
      <c r="K5" s="22">
        <v>2.4171328239627399</v>
      </c>
      <c r="L5" s="22">
        <v>1.84551880806033</v>
      </c>
      <c r="M5" s="12">
        <f t="shared" ref="M5:M65" si="3">L5+K5</f>
        <v>4.2626516320230703</v>
      </c>
      <c r="N5" s="11">
        <f>M5-O5/1000</f>
        <v>4.2044176320230706</v>
      </c>
      <c r="O5" s="19">
        <v>58.234000000000002</v>
      </c>
      <c r="P5" s="6">
        <f>O5/1000/M5</f>
        <v>1.3661449498363516E-2</v>
      </c>
      <c r="Q5" s="7"/>
      <c r="R5" s="18">
        <v>2979.5761849999999</v>
      </c>
      <c r="S5" s="12">
        <f t="shared" ref="S5:S36" si="4">N5*1000000000*44/12*1/(R5*1000000)</f>
        <v>5.1739566390998633</v>
      </c>
    </row>
    <row r="6" spans="1:19" ht="16">
      <c r="A6" s="3">
        <v>1960</v>
      </c>
      <c r="B6" s="21">
        <v>13.4199018897638</v>
      </c>
      <c r="C6" s="13">
        <f t="shared" si="0"/>
        <v>49.206306929133937</v>
      </c>
      <c r="D6" s="23">
        <v>7497967</v>
      </c>
      <c r="E6" s="13">
        <f>C6*1000000/D6</f>
        <v>6.5626198313668143</v>
      </c>
      <c r="F6" s="13">
        <f t="shared" si="2"/>
        <v>39.413258865878369</v>
      </c>
      <c r="G6" s="10"/>
      <c r="H6" s="2"/>
      <c r="I6" s="2"/>
      <c r="J6" s="3">
        <v>1960</v>
      </c>
      <c r="K6" s="22">
        <v>2.56217532950871</v>
      </c>
      <c r="L6" s="22">
        <v>1.8537115593790101</v>
      </c>
      <c r="M6" s="12">
        <f t="shared" si="3"/>
        <v>4.4158868888877203</v>
      </c>
      <c r="N6" s="11">
        <f t="shared" ref="N6:N69" si="5">M6-O6/1000</f>
        <v>4.3508979311394311</v>
      </c>
      <c r="O6" s="19">
        <v>64.988957748288797</v>
      </c>
      <c r="P6" s="6">
        <f t="shared" ref="P6:P69" si="6">O6/1000/M6</f>
        <v>1.4717079350883986E-2</v>
      </c>
      <c r="Q6" s="7"/>
      <c r="R6" s="18">
        <v>3034.949748</v>
      </c>
      <c r="S6" s="12">
        <f t="shared" si="4"/>
        <v>5.2565260511120373</v>
      </c>
    </row>
    <row r="7" spans="1:19" ht="16">
      <c r="A7" s="3">
        <v>1961</v>
      </c>
      <c r="B7" s="21">
        <v>13.318642614222901</v>
      </c>
      <c r="C7" s="13">
        <f t="shared" si="0"/>
        <v>48.835022918817309</v>
      </c>
      <c r="D7" s="23">
        <v>7542028</v>
      </c>
      <c r="E7" s="13">
        <f t="shared" si="1"/>
        <v>6.475051924869188</v>
      </c>
      <c r="F7" s="13">
        <f t="shared" si="2"/>
        <v>39.004459755358326</v>
      </c>
      <c r="G7" s="10"/>
      <c r="H7" s="2"/>
      <c r="I7" s="2"/>
      <c r="J7" s="3">
        <v>1961</v>
      </c>
      <c r="K7" s="22">
        <v>2.5705876854519101</v>
      </c>
      <c r="L7" s="22">
        <v>1.86212030778633</v>
      </c>
      <c r="M7" s="12">
        <f t="shared" si="3"/>
        <v>4.4327079932382398</v>
      </c>
      <c r="N7" s="11">
        <f t="shared" si="5"/>
        <v>4.3608605599056176</v>
      </c>
      <c r="O7" s="19">
        <v>71.847433332622501</v>
      </c>
      <c r="P7" s="6">
        <f t="shared" si="6"/>
        <v>1.6208474242431561E-2</v>
      </c>
      <c r="Q7" s="7"/>
      <c r="R7" s="18">
        <v>3091.843507</v>
      </c>
      <c r="S7" s="12">
        <f t="shared" si="4"/>
        <v>5.1716142866823516</v>
      </c>
    </row>
    <row r="8" spans="1:19" ht="16">
      <c r="A8" s="3">
        <v>1962</v>
      </c>
      <c r="B8" s="21">
        <v>13.9936099212598</v>
      </c>
      <c r="C8" s="13">
        <f t="shared" si="0"/>
        <v>51.309903044619269</v>
      </c>
      <c r="D8" s="23">
        <v>7581148</v>
      </c>
      <c r="E8" s="13">
        <f t="shared" si="1"/>
        <v>6.7680914611638325</v>
      </c>
      <c r="F8" s="13">
        <f t="shared" si="2"/>
        <v>38.624393580058765</v>
      </c>
      <c r="G8" s="10"/>
      <c r="H8" s="2"/>
      <c r="I8" s="2"/>
      <c r="J8" s="3">
        <v>1962</v>
      </c>
      <c r="K8" s="22">
        <v>2.6613708989738498</v>
      </c>
      <c r="L8" s="22">
        <v>1.7905989263755999</v>
      </c>
      <c r="M8" s="12">
        <f t="shared" si="3"/>
        <v>4.4519698253494493</v>
      </c>
      <c r="N8" s="11">
        <f>M8-O8/1000</f>
        <v>4.3774766060453807</v>
      </c>
      <c r="O8" s="19">
        <v>74.493219304068703</v>
      </c>
      <c r="P8" s="6">
        <f t="shared" si="6"/>
        <v>1.6732642454112205E-2</v>
      </c>
      <c r="Q8" s="7"/>
      <c r="R8" s="18">
        <v>3150.420795</v>
      </c>
      <c r="S8" s="12">
        <f t="shared" si="4"/>
        <v>5.0947948226388364</v>
      </c>
    </row>
    <row r="9" spans="1:19" ht="16">
      <c r="A9" s="3">
        <v>1963</v>
      </c>
      <c r="B9" s="21">
        <v>15.096358262762401</v>
      </c>
      <c r="C9" s="13">
        <f t="shared" si="0"/>
        <v>55.353313630128802</v>
      </c>
      <c r="D9" s="23">
        <v>7627507</v>
      </c>
      <c r="E9" s="13">
        <f t="shared" si="1"/>
        <v>7.2570649401080587</v>
      </c>
      <c r="F9" s="13">
        <f t="shared" si="2"/>
        <v>38.126237729957545</v>
      </c>
      <c r="G9" s="10"/>
      <c r="H9" s="2"/>
      <c r="I9" s="2"/>
      <c r="J9" s="3">
        <v>1963</v>
      </c>
      <c r="K9" s="22">
        <v>2.80346344743521</v>
      </c>
      <c r="L9" s="22">
        <v>1.6518619839565201</v>
      </c>
      <c r="M9" s="12">
        <f t="shared" si="3"/>
        <v>4.4553254313917297</v>
      </c>
      <c r="N9" s="11">
        <f t="shared" si="5"/>
        <v>4.3773406800222903</v>
      </c>
      <c r="O9" s="19">
        <v>77.984751369439707</v>
      </c>
      <c r="P9" s="6">
        <f t="shared" si="6"/>
        <v>1.7503716074244047E-2</v>
      </c>
      <c r="Q9" s="7"/>
      <c r="R9" s="18">
        <v>3211.0010090000001</v>
      </c>
      <c r="S9" s="12">
        <f t="shared" si="4"/>
        <v>4.9985188777876628</v>
      </c>
    </row>
    <row r="10" spans="1:19" ht="16">
      <c r="A10" s="3">
        <v>1964</v>
      </c>
      <c r="B10" s="21">
        <v>16.4760016535433</v>
      </c>
      <c r="C10" s="13">
        <f t="shared" si="0"/>
        <v>60.412006062992099</v>
      </c>
      <c r="D10" s="23">
        <v>7695200</v>
      </c>
      <c r="E10" s="13">
        <f t="shared" si="1"/>
        <v>7.8506089592203052</v>
      </c>
      <c r="F10" s="13">
        <f t="shared" si="2"/>
        <v>38.216690367030289</v>
      </c>
      <c r="G10" s="10"/>
      <c r="H10" s="2"/>
      <c r="I10" s="2"/>
      <c r="J10" s="3">
        <v>1964</v>
      </c>
      <c r="K10" s="22">
        <v>2.9557498501567401</v>
      </c>
      <c r="L10" s="22">
        <v>1.5641112119979601</v>
      </c>
      <c r="M10" s="12">
        <f t="shared" si="3"/>
        <v>4.5198610621546997</v>
      </c>
      <c r="N10" s="11">
        <f t="shared" si="5"/>
        <v>4.4344272372285358</v>
      </c>
      <c r="O10" s="19">
        <v>85.433824926164107</v>
      </c>
      <c r="P10" s="6">
        <f t="shared" si="6"/>
        <v>1.8901869714870453E-2</v>
      </c>
      <c r="Q10" s="7"/>
      <c r="R10" s="18">
        <v>3273.9783379999999</v>
      </c>
      <c r="S10" s="12">
        <f t="shared" si="4"/>
        <v>4.9663024180047675</v>
      </c>
    </row>
    <row r="11" spans="1:19" ht="16">
      <c r="A11" s="3">
        <v>1965</v>
      </c>
      <c r="B11" s="21">
        <v>17.074839692410901</v>
      </c>
      <c r="C11" s="13">
        <f t="shared" si="0"/>
        <v>62.607745538839971</v>
      </c>
      <c r="D11" s="23">
        <v>7772506</v>
      </c>
      <c r="E11" s="13">
        <f t="shared" si="1"/>
        <v>8.0550269808527606</v>
      </c>
      <c r="F11" s="13">
        <f t="shared" si="2"/>
        <v>37.700967801594992</v>
      </c>
      <c r="G11" s="10"/>
      <c r="H11" s="2"/>
      <c r="I11" s="2"/>
      <c r="J11" s="3">
        <v>1965</v>
      </c>
      <c r="K11" s="22">
        <v>3.0889417904810799</v>
      </c>
      <c r="L11" s="22">
        <v>1.4171725708371301</v>
      </c>
      <c r="M11" s="12">
        <f t="shared" si="3"/>
        <v>4.5061143613182102</v>
      </c>
      <c r="N11" s="11">
        <f t="shared" si="5"/>
        <v>4.4178637902241027</v>
      </c>
      <c r="O11" s="19">
        <v>88.250571094107102</v>
      </c>
      <c r="P11" s="6">
        <f t="shared" si="6"/>
        <v>1.9584627467885755E-2</v>
      </c>
      <c r="Q11" s="7"/>
      <c r="R11" s="18">
        <v>3339.5835969999998</v>
      </c>
      <c r="S11" s="12">
        <f t="shared" si="4"/>
        <v>4.8505549949520779</v>
      </c>
    </row>
    <row r="12" spans="1:19" ht="16">
      <c r="A12" s="3">
        <v>1966</v>
      </c>
      <c r="B12" s="21">
        <v>19.791855878632699</v>
      </c>
      <c r="C12" s="13">
        <f t="shared" si="0"/>
        <v>72.570138221653238</v>
      </c>
      <c r="D12" s="23">
        <v>7843088</v>
      </c>
      <c r="E12" s="13">
        <f t="shared" si="1"/>
        <v>9.2527507305353751</v>
      </c>
      <c r="F12" s="13">
        <f t="shared" si="2"/>
        <v>37.908184171537094</v>
      </c>
      <c r="G12" s="10"/>
      <c r="H12" s="2"/>
      <c r="I12" s="2"/>
      <c r="J12" s="3">
        <v>1966</v>
      </c>
      <c r="K12" s="22">
        <v>3.2388800697061999</v>
      </c>
      <c r="L12" s="22">
        <v>1.3488656804086201</v>
      </c>
      <c r="M12" s="12">
        <f t="shared" si="3"/>
        <v>4.58774575011482</v>
      </c>
      <c r="N12" s="11">
        <f t="shared" si="5"/>
        <v>4.4922528207021521</v>
      </c>
      <c r="O12" s="19">
        <v>95.492929412667493</v>
      </c>
      <c r="P12" s="6">
        <f t="shared" si="6"/>
        <v>2.0814782382017907E-2</v>
      </c>
      <c r="Q12" s="7"/>
      <c r="R12" s="18">
        <v>3407.92263</v>
      </c>
      <c r="S12" s="12">
        <f t="shared" si="4"/>
        <v>4.8333238351446646</v>
      </c>
    </row>
    <row r="13" spans="1:19" ht="16">
      <c r="A13" s="3">
        <v>1967</v>
      </c>
      <c r="B13" s="21">
        <v>18.812701574803199</v>
      </c>
      <c r="C13" s="13">
        <f t="shared" si="0"/>
        <v>68.979905774278393</v>
      </c>
      <c r="D13" s="23">
        <v>7892774</v>
      </c>
      <c r="E13" s="13">
        <f t="shared" si="1"/>
        <v>8.7396276358956158</v>
      </c>
      <c r="F13" s="13">
        <f t="shared" si="2"/>
        <v>38.366477805730703</v>
      </c>
      <c r="G13" s="10"/>
      <c r="H13" s="2"/>
      <c r="I13" s="2"/>
      <c r="J13" s="3">
        <v>1967</v>
      </c>
      <c r="K13" s="22">
        <v>3.3418105127378501</v>
      </c>
      <c r="L13" s="22">
        <v>1.3722228350951999</v>
      </c>
      <c r="M13" s="12">
        <f t="shared" si="3"/>
        <v>4.7140333478330501</v>
      </c>
      <c r="N13" s="11">
        <f t="shared" si="5"/>
        <v>4.6118645601999875</v>
      </c>
      <c r="O13" s="19">
        <v>102.168787633063</v>
      </c>
      <c r="P13" s="6">
        <f t="shared" si="6"/>
        <v>2.1673327296258524E-2</v>
      </c>
      <c r="Q13" s="7"/>
      <c r="R13" s="18">
        <v>3478.7699619999999</v>
      </c>
      <c r="S13" s="12">
        <f t="shared" si="4"/>
        <v>4.8609624202759001</v>
      </c>
    </row>
    <row r="14" spans="1:19" ht="16">
      <c r="A14" s="3">
        <v>1968</v>
      </c>
      <c r="B14" s="21">
        <v>21.180685354330699</v>
      </c>
      <c r="C14" s="13">
        <f t="shared" si="0"/>
        <v>77.66251296587923</v>
      </c>
      <c r="D14" s="24">
        <v>7931193</v>
      </c>
      <c r="E14" s="13">
        <f t="shared" si="1"/>
        <v>9.7920341827363462</v>
      </c>
      <c r="F14" s="13">
        <f t="shared" si="2"/>
        <v>39.264641507743143</v>
      </c>
      <c r="G14" s="10"/>
      <c r="H14" s="2"/>
      <c r="I14" s="2"/>
      <c r="J14" s="3">
        <v>1968</v>
      </c>
      <c r="K14" s="22">
        <v>3.5238302411595002</v>
      </c>
      <c r="L14" s="22">
        <v>1.37953231304461</v>
      </c>
      <c r="M14" s="12">
        <f t="shared" si="3"/>
        <v>4.9033625542041097</v>
      </c>
      <c r="N14" s="11">
        <f t="shared" si="5"/>
        <v>4.7952983010776178</v>
      </c>
      <c r="O14" s="19">
        <v>108.06425312649201</v>
      </c>
      <c r="P14" s="6">
        <f t="shared" si="6"/>
        <v>2.2038805397703757E-2</v>
      </c>
      <c r="Q14" s="7"/>
      <c r="R14" s="18">
        <v>3551.599127</v>
      </c>
      <c r="S14" s="12">
        <f t="shared" si="4"/>
        <v>4.950660197998352</v>
      </c>
    </row>
    <row r="15" spans="1:19" ht="16">
      <c r="A15" s="3">
        <v>1969</v>
      </c>
      <c r="B15" s="21">
        <v>23.575636692913399</v>
      </c>
      <c r="C15" s="13">
        <f t="shared" si="0"/>
        <v>86.444001207349132</v>
      </c>
      <c r="D15" s="24">
        <v>8004270</v>
      </c>
      <c r="E15" s="13">
        <f t="shared" si="1"/>
        <v>10.799735791939694</v>
      </c>
      <c r="F15" s="13">
        <f t="shared" si="2"/>
        <v>39.96305035256983</v>
      </c>
      <c r="G15" s="10"/>
      <c r="H15" s="2"/>
      <c r="I15" s="2"/>
      <c r="J15" s="3">
        <v>1969</v>
      </c>
      <c r="K15" s="22">
        <v>3.75760827102091</v>
      </c>
      <c r="L15" s="22">
        <v>1.2924243756645599</v>
      </c>
      <c r="M15" s="12">
        <f t="shared" si="3"/>
        <v>5.0500326466854695</v>
      </c>
      <c r="N15" s="11">
        <f t="shared" si="5"/>
        <v>4.9369077933904348</v>
      </c>
      <c r="O15" s="19">
        <v>113.124853295035</v>
      </c>
      <c r="P15" s="6">
        <f t="shared" si="6"/>
        <v>2.240081623418478E-2</v>
      </c>
      <c r="Q15" s="7"/>
      <c r="R15" s="18">
        <v>3625.6806269999997</v>
      </c>
      <c r="S15" s="12">
        <f t="shared" si="4"/>
        <v>4.9927164316758219</v>
      </c>
    </row>
    <row r="16" spans="1:19" ht="16">
      <c r="A16" s="3">
        <v>1970</v>
      </c>
      <c r="B16" s="21">
        <v>25.1875069291339</v>
      </c>
      <c r="C16" s="13">
        <f t="shared" si="0"/>
        <v>92.354192073490978</v>
      </c>
      <c r="D16" s="24">
        <v>8081229</v>
      </c>
      <c r="E16" s="13">
        <f t="shared" si="1"/>
        <v>11.428235986567262</v>
      </c>
      <c r="F16" s="13">
        <f t="shared" si="2"/>
        <v>41.956629898580267</v>
      </c>
      <c r="G16" s="10"/>
      <c r="H16" s="2"/>
      <c r="I16" s="2"/>
      <c r="J16" s="3">
        <v>1970</v>
      </c>
      <c r="K16" s="22">
        <v>4.0662050881940202</v>
      </c>
      <c r="L16" s="22">
        <v>1.28651434647713</v>
      </c>
      <c r="M16" s="12">
        <f t="shared" si="3"/>
        <v>5.3527194346711502</v>
      </c>
      <c r="N16" s="11">
        <f t="shared" si="5"/>
        <v>5.233660781445062</v>
      </c>
      <c r="O16" s="19">
        <v>119.058653226088</v>
      </c>
      <c r="P16" s="6">
        <f t="shared" si="6"/>
        <v>2.2242647812793961E-2</v>
      </c>
      <c r="Q16" s="7"/>
      <c r="R16" s="18">
        <v>3696.1860000000001</v>
      </c>
      <c r="S16" s="12">
        <f t="shared" si="4"/>
        <v>5.1918625123208697</v>
      </c>
    </row>
    <row r="17" spans="1:19" ht="16">
      <c r="A17" s="3">
        <v>1971</v>
      </c>
      <c r="B17" s="21">
        <v>23.064646762924699</v>
      </c>
      <c r="C17" s="13">
        <f t="shared" si="0"/>
        <v>84.570371464057231</v>
      </c>
      <c r="D17" s="24">
        <v>8115165</v>
      </c>
      <c r="E17" s="13">
        <f t="shared" si="1"/>
        <v>10.421275656632643</v>
      </c>
      <c r="F17" s="13">
        <f t="shared" si="2"/>
        <v>42.419202799421399</v>
      </c>
      <c r="G17" s="10"/>
      <c r="H17" s="2"/>
      <c r="I17" s="2"/>
      <c r="J17" s="3">
        <v>1971</v>
      </c>
      <c r="K17" s="22">
        <v>4.2302557031100996</v>
      </c>
      <c r="L17" s="22">
        <v>1.2731343844757299</v>
      </c>
      <c r="M17" s="12">
        <f t="shared" si="3"/>
        <v>5.5033900875858297</v>
      </c>
      <c r="N17" s="11">
        <f t="shared" si="5"/>
        <v>5.3776456457863553</v>
      </c>
      <c r="O17" s="19">
        <v>125.744441799474</v>
      </c>
      <c r="P17" s="6">
        <f t="shared" si="6"/>
        <v>2.2848542407182745E-2</v>
      </c>
      <c r="Q17" s="7"/>
      <c r="R17" s="18">
        <v>3772.2326000000003</v>
      </c>
      <c r="S17" s="12">
        <f t="shared" si="4"/>
        <v>5.2271522266548374</v>
      </c>
    </row>
    <row r="18" spans="1:19" ht="16">
      <c r="A18" s="3">
        <v>1972</v>
      </c>
      <c r="B18" s="21">
        <v>23.117692508124399</v>
      </c>
      <c r="C18" s="13">
        <f t="shared" si="0"/>
        <v>84.764872529789457</v>
      </c>
      <c r="D18" s="24">
        <v>8129129</v>
      </c>
      <c r="E18" s="13">
        <f t="shared" si="1"/>
        <v>10.427300702177252</v>
      </c>
      <c r="F18" s="13">
        <f t="shared" si="2"/>
        <v>43.140799203974382</v>
      </c>
      <c r="G18" s="10"/>
      <c r="H18" s="2"/>
      <c r="I18" s="2"/>
      <c r="J18" s="3">
        <v>1972</v>
      </c>
      <c r="K18" s="22">
        <v>4.4276035138864804</v>
      </c>
      <c r="L18" s="22">
        <v>1.2763015683079799</v>
      </c>
      <c r="M18" s="12">
        <f t="shared" si="3"/>
        <v>5.7039050821944599</v>
      </c>
      <c r="N18" s="11">
        <f t="shared" si="5"/>
        <v>5.5697963207273009</v>
      </c>
      <c r="O18" s="19">
        <v>134.10876146715901</v>
      </c>
      <c r="P18" s="6">
        <f t="shared" si="6"/>
        <v>2.3511744942214825E-2</v>
      </c>
      <c r="Q18" s="7"/>
      <c r="R18" s="18">
        <v>3848.2792000000004</v>
      </c>
      <c r="S18" s="12">
        <f t="shared" si="4"/>
        <v>5.3069399198824847</v>
      </c>
    </row>
    <row r="19" spans="1:19" ht="16">
      <c r="A19" s="3">
        <v>1973</v>
      </c>
      <c r="B19" s="21">
        <v>23.8235602254341</v>
      </c>
      <c r="C19" s="13">
        <f t="shared" si="0"/>
        <v>87.353054159925037</v>
      </c>
      <c r="D19" s="24">
        <v>8144428</v>
      </c>
      <c r="E19" s="13">
        <f t="shared" si="1"/>
        <v>10.725498974258848</v>
      </c>
      <c r="F19" s="13">
        <f t="shared" si="2"/>
        <v>43.806223039209996</v>
      </c>
      <c r="G19" s="10"/>
      <c r="H19" s="2"/>
      <c r="I19" s="2"/>
      <c r="J19" s="3">
        <v>1973</v>
      </c>
      <c r="K19" s="22">
        <v>4.6616107546964596</v>
      </c>
      <c r="L19" s="22">
        <v>1.2386370847988299</v>
      </c>
      <c r="M19" s="12">
        <f t="shared" si="3"/>
        <v>5.9002478394952895</v>
      </c>
      <c r="N19" s="11">
        <f t="shared" si="5"/>
        <v>5.7566370286306467</v>
      </c>
      <c r="O19" s="19">
        <v>143.61081086464301</v>
      </c>
      <c r="P19" s="6">
        <f t="shared" si="6"/>
        <v>2.4339792966548937E-2</v>
      </c>
      <c r="Q19" s="7"/>
      <c r="R19" s="18">
        <v>3924.3258000000005</v>
      </c>
      <c r="S19" s="12">
        <f t="shared" si="4"/>
        <v>5.3786739890401138</v>
      </c>
    </row>
    <row r="20" spans="1:19" ht="16">
      <c r="A20" s="3">
        <v>1974</v>
      </c>
      <c r="B20" s="21">
        <v>21.785708904724999</v>
      </c>
      <c r="C20" s="13">
        <f t="shared" si="0"/>
        <v>79.880932650658323</v>
      </c>
      <c r="D20" s="24">
        <v>8176691</v>
      </c>
      <c r="E20" s="13">
        <f t="shared" si="1"/>
        <v>9.7693471173923925</v>
      </c>
      <c r="F20" s="13">
        <f t="shared" si="2"/>
        <v>42.731892426902206</v>
      </c>
      <c r="G20" s="10"/>
      <c r="H20" s="2"/>
      <c r="I20" s="2"/>
      <c r="J20" s="3">
        <v>1974</v>
      </c>
      <c r="K20" s="22">
        <v>4.6427795269809398</v>
      </c>
      <c r="L20" s="22">
        <v>1.1922658241114501</v>
      </c>
      <c r="M20" s="12">
        <f t="shared" si="3"/>
        <v>5.8350453510923899</v>
      </c>
      <c r="N20" s="11">
        <f t="shared" si="5"/>
        <v>5.7016890972938228</v>
      </c>
      <c r="O20" s="19">
        <v>133.356253798567</v>
      </c>
      <c r="P20" s="6">
        <f t="shared" si="6"/>
        <v>2.2854364580662791E-2</v>
      </c>
      <c r="Q20" s="7"/>
      <c r="R20" s="18">
        <v>4000.3724000000007</v>
      </c>
      <c r="S20" s="12">
        <f t="shared" si="4"/>
        <v>5.2260617928330912</v>
      </c>
    </row>
    <row r="21" spans="1:19" ht="16">
      <c r="A21" s="3">
        <v>1975</v>
      </c>
      <c r="B21" s="21">
        <v>22.041516878681001</v>
      </c>
      <c r="C21" s="13">
        <f t="shared" si="0"/>
        <v>80.818895221830346</v>
      </c>
      <c r="D21" s="24">
        <v>8208442</v>
      </c>
      <c r="E21" s="13">
        <f t="shared" si="1"/>
        <v>9.8458264335461401</v>
      </c>
      <c r="F21" s="13">
        <f t="shared" si="2"/>
        <v>43.915709883414955</v>
      </c>
      <c r="G21" s="10"/>
      <c r="H21" s="2"/>
      <c r="I21" s="2"/>
      <c r="J21" s="3">
        <v>1975</v>
      </c>
      <c r="K21" s="22">
        <v>4.65298553857673</v>
      </c>
      <c r="L21" s="22">
        <v>1.4170177831210999</v>
      </c>
      <c r="M21" s="12">
        <f t="shared" si="3"/>
        <v>6.07000332169783</v>
      </c>
      <c r="N21" s="11">
        <f t="shared" si="5"/>
        <v>5.9479397441374884</v>
      </c>
      <c r="O21" s="19">
        <v>122.063577560342</v>
      </c>
      <c r="P21" s="6">
        <f t="shared" si="6"/>
        <v>2.0109309845682228E-2</v>
      </c>
      <c r="Q21" s="7"/>
      <c r="R21" s="18">
        <v>4076.4189999999999</v>
      </c>
      <c r="S21" s="12">
        <f t="shared" si="4"/>
        <v>5.3500664174047836</v>
      </c>
    </row>
    <row r="22" spans="1:19" ht="16">
      <c r="A22" s="3">
        <v>1976</v>
      </c>
      <c r="B22" s="21">
        <v>24.083203089575498</v>
      </c>
      <c r="C22" s="13">
        <f t="shared" si="0"/>
        <v>88.305077995110153</v>
      </c>
      <c r="D22" s="24">
        <v>8236179</v>
      </c>
      <c r="E22" s="13">
        <f t="shared" si="1"/>
        <v>10.721607434116009</v>
      </c>
      <c r="F22" s="13">
        <f t="shared" si="2"/>
        <v>44.304674659775614</v>
      </c>
      <c r="G22" s="10"/>
      <c r="H22" s="2"/>
      <c r="I22" s="2"/>
      <c r="J22" s="3">
        <v>1976</v>
      </c>
      <c r="K22" s="22">
        <v>4.90870669076019</v>
      </c>
      <c r="L22" s="22">
        <v>1.3019280419508701</v>
      </c>
      <c r="M22" s="12">
        <f t="shared" si="3"/>
        <v>6.2106347327110605</v>
      </c>
      <c r="N22" s="11">
        <f t="shared" si="5"/>
        <v>6.0909093669445165</v>
      </c>
      <c r="O22" s="19">
        <v>119.725365766544</v>
      </c>
      <c r="P22" s="6">
        <f t="shared" si="6"/>
        <v>1.9277476605725544E-2</v>
      </c>
      <c r="Q22" s="7"/>
      <c r="R22" s="18">
        <v>4151.7366000000002</v>
      </c>
      <c r="S22" s="12">
        <f t="shared" si="4"/>
        <v>5.3792753484079956</v>
      </c>
    </row>
    <row r="23" spans="1:19" ht="16">
      <c r="A23" s="3">
        <v>1977</v>
      </c>
      <c r="B23" s="21">
        <v>23.400762446332902</v>
      </c>
      <c r="C23" s="13">
        <f t="shared" si="0"/>
        <v>85.802795636553981</v>
      </c>
      <c r="D23" s="24">
        <v>8267116</v>
      </c>
      <c r="E23" s="13">
        <f t="shared" si="1"/>
        <v>10.378806301563204</v>
      </c>
      <c r="F23" s="13">
        <f t="shared" si="2"/>
        <v>44.410192055586386</v>
      </c>
      <c r="G23" s="10"/>
      <c r="H23" s="2"/>
      <c r="I23" s="2"/>
      <c r="J23" s="3">
        <v>1977</v>
      </c>
      <c r="K23" s="22">
        <v>5.0481525644688103</v>
      </c>
      <c r="L23" s="22">
        <v>1.2672844701280299</v>
      </c>
      <c r="M23" s="12">
        <f t="shared" si="3"/>
        <v>6.3154370345968402</v>
      </c>
      <c r="N23" s="11">
        <f t="shared" si="5"/>
        <v>6.1929133839541803</v>
      </c>
      <c r="O23" s="19">
        <v>122.52365064266</v>
      </c>
      <c r="P23" s="6">
        <f t="shared" si="6"/>
        <v>1.940066063068295E-2</v>
      </c>
      <c r="Q23" s="7"/>
      <c r="R23" s="18">
        <v>4227.0542000000005</v>
      </c>
      <c r="S23" s="12">
        <f t="shared" si="4"/>
        <v>5.3719086626565273</v>
      </c>
    </row>
    <row r="24" spans="1:19" ht="16">
      <c r="A24" s="3">
        <v>1978</v>
      </c>
      <c r="B24" s="21">
        <v>21.691181292424801</v>
      </c>
      <c r="C24" s="13">
        <f t="shared" si="0"/>
        <v>79.534331405557609</v>
      </c>
      <c r="D24" s="24">
        <v>8284437</v>
      </c>
      <c r="E24" s="13">
        <f t="shared" si="1"/>
        <v>9.6004509908829778</v>
      </c>
      <c r="F24" s="13">
        <f t="shared" si="2"/>
        <v>44.015523380114331</v>
      </c>
      <c r="G24" s="10"/>
      <c r="H24" s="2"/>
      <c r="I24" s="2"/>
      <c r="J24" s="3">
        <v>1978</v>
      </c>
      <c r="K24" s="22">
        <v>5.2045932229706597</v>
      </c>
      <c r="L24" s="22">
        <v>1.1539550754318699</v>
      </c>
      <c r="M24" s="12">
        <f t="shared" si="3"/>
        <v>6.3585482984025301</v>
      </c>
      <c r="N24" s="11">
        <f t="shared" si="5"/>
        <v>6.2341805885655219</v>
      </c>
      <c r="O24" s="19">
        <v>124.36770983700799</v>
      </c>
      <c r="P24" s="6">
        <f t="shared" si="6"/>
        <v>1.9559135827945686E-2</v>
      </c>
      <c r="Q24" s="7"/>
      <c r="R24" s="18">
        <v>4302.3718000000008</v>
      </c>
      <c r="S24" s="12">
        <f t="shared" si="4"/>
        <v>5.3130373711713101</v>
      </c>
    </row>
    <row r="25" spans="1:19" ht="16">
      <c r="A25" s="3">
        <v>1979</v>
      </c>
      <c r="B25" s="21">
        <v>23.162821775355201</v>
      </c>
      <c r="C25" s="13">
        <f t="shared" si="0"/>
        <v>84.93034650963574</v>
      </c>
      <c r="D25" s="24">
        <v>8303010</v>
      </c>
      <c r="E25" s="13">
        <f t="shared" si="1"/>
        <v>10.228862365531988</v>
      </c>
      <c r="F25" s="13">
        <f t="shared" si="2"/>
        <v>44.427697739826598</v>
      </c>
      <c r="G25" s="10"/>
      <c r="H25" s="2"/>
      <c r="I25" s="2"/>
      <c r="J25" s="3">
        <v>1979</v>
      </c>
      <c r="K25" s="22">
        <v>5.3524771149791404</v>
      </c>
      <c r="L25" s="22">
        <v>1.1607417626371199</v>
      </c>
      <c r="M25" s="12">
        <f t="shared" si="3"/>
        <v>6.5132188776162607</v>
      </c>
      <c r="N25" s="11">
        <f t="shared" si="5"/>
        <v>6.3883950123468773</v>
      </c>
      <c r="O25" s="19">
        <v>124.82386526938301</v>
      </c>
      <c r="P25" s="6">
        <f t="shared" si="6"/>
        <v>1.9164696844191829E-2</v>
      </c>
      <c r="Q25" s="7"/>
      <c r="R25" s="18">
        <v>4377.6894000000011</v>
      </c>
      <c r="S25" s="12">
        <f t="shared" si="4"/>
        <v>5.3507941987094556</v>
      </c>
    </row>
    <row r="26" spans="1:19" ht="16">
      <c r="A26" s="3">
        <v>1980</v>
      </c>
      <c r="B26" s="21">
        <v>19.5725123819652</v>
      </c>
      <c r="C26" s="13">
        <f t="shared" si="0"/>
        <v>71.765878733872398</v>
      </c>
      <c r="D26" s="24">
        <v>8317937</v>
      </c>
      <c r="E26" s="13">
        <f t="shared" si="1"/>
        <v>8.6278459110561183</v>
      </c>
      <c r="F26" s="13">
        <f t="shared" si="2"/>
        <v>43.352638068150725</v>
      </c>
      <c r="G26" s="10"/>
      <c r="H26" s="2"/>
      <c r="I26" s="2"/>
      <c r="J26" s="3">
        <v>1980</v>
      </c>
      <c r="K26" s="22">
        <v>5.3205381660755</v>
      </c>
      <c r="L26" s="22">
        <v>1.1309733312180601</v>
      </c>
      <c r="M26" s="12">
        <f t="shared" si="3"/>
        <v>6.4515114972935601</v>
      </c>
      <c r="N26" s="11">
        <f t="shared" si="5"/>
        <v>6.3296814009818334</v>
      </c>
      <c r="O26" s="19">
        <v>121.830096311727</v>
      </c>
      <c r="P26" s="6">
        <f t="shared" si="6"/>
        <v>1.8883961744908199E-2</v>
      </c>
      <c r="Q26" s="7"/>
      <c r="R26" s="18">
        <v>4453.0069999999996</v>
      </c>
      <c r="S26" s="12">
        <f t="shared" si="4"/>
        <v>5.2119459510393886</v>
      </c>
    </row>
    <row r="27" spans="1:19" ht="16">
      <c r="A27" s="3">
        <v>1981</v>
      </c>
      <c r="B27" s="21">
        <v>18.937910435033199</v>
      </c>
      <c r="C27" s="13">
        <f t="shared" si="0"/>
        <v>69.439004928455063</v>
      </c>
      <c r="D27" s="24">
        <v>8323033</v>
      </c>
      <c r="E27" s="13">
        <f t="shared" si="1"/>
        <v>8.3429928643146152</v>
      </c>
      <c r="F27" s="13">
        <f t="shared" si="2"/>
        <v>42.116533484814141</v>
      </c>
      <c r="G27" s="10"/>
      <c r="H27" s="2"/>
      <c r="I27" s="2"/>
      <c r="J27" s="3">
        <v>1981</v>
      </c>
      <c r="K27" s="22">
        <v>5.1935131555434504</v>
      </c>
      <c r="L27" s="22">
        <v>1.1776463976423599</v>
      </c>
      <c r="M27" s="12">
        <f t="shared" si="3"/>
        <v>6.3711595531858105</v>
      </c>
      <c r="N27" s="11">
        <f t="shared" si="5"/>
        <v>6.2586829704495424</v>
      </c>
      <c r="O27" s="19">
        <v>112.476582736268</v>
      </c>
      <c r="P27" s="6">
        <f t="shared" si="6"/>
        <v>1.7654020715903378E-2</v>
      </c>
      <c r="Q27" s="7"/>
      <c r="R27" s="18">
        <v>4535.0635999999995</v>
      </c>
      <c r="S27" s="12">
        <f t="shared" si="4"/>
        <v>5.0602386755902735</v>
      </c>
    </row>
    <row r="28" spans="1:19" ht="16">
      <c r="A28" s="3">
        <v>1982</v>
      </c>
      <c r="B28" s="21">
        <v>16.991469616947999</v>
      </c>
      <c r="C28" s="13">
        <f t="shared" si="0"/>
        <v>62.302055262142659</v>
      </c>
      <c r="D28" s="24">
        <v>8327484</v>
      </c>
      <c r="E28" s="13">
        <f t="shared" si="1"/>
        <v>7.4814980445645594</v>
      </c>
      <c r="F28" s="13">
        <f t="shared" si="2"/>
        <v>41.041114614878651</v>
      </c>
      <c r="G28" s="10"/>
      <c r="H28" s="2"/>
      <c r="I28" s="2"/>
      <c r="J28" s="3">
        <v>1982</v>
      </c>
      <c r="K28" s="22">
        <v>5.1522626077705</v>
      </c>
      <c r="L28" s="22">
        <v>1.15548182084022</v>
      </c>
      <c r="M28" s="12">
        <f t="shared" si="3"/>
        <v>6.3077444286107198</v>
      </c>
      <c r="N28" s="11">
        <f t="shared" si="5"/>
        <v>6.2059045353108528</v>
      </c>
      <c r="O28" s="19">
        <v>101.839893299867</v>
      </c>
      <c r="P28" s="6">
        <f t="shared" si="6"/>
        <v>1.6145215528698464E-2</v>
      </c>
      <c r="Q28" s="7"/>
      <c r="R28" s="18">
        <v>4617.1201999999994</v>
      </c>
      <c r="S28" s="12">
        <f t="shared" si="4"/>
        <v>4.9283930914641987</v>
      </c>
    </row>
    <row r="29" spans="1:19" ht="16">
      <c r="A29" s="3">
        <v>1983</v>
      </c>
      <c r="B29" s="21">
        <v>15.9029244608359</v>
      </c>
      <c r="C29" s="13">
        <f t="shared" si="0"/>
        <v>58.310723023064959</v>
      </c>
      <c r="D29" s="24">
        <v>8330573</v>
      </c>
      <c r="E29" s="13">
        <f t="shared" si="1"/>
        <v>6.9996053120313517</v>
      </c>
      <c r="F29" s="13">
        <f t="shared" si="2"/>
        <v>41.341180920470606</v>
      </c>
      <c r="G29" s="10"/>
      <c r="H29" s="2"/>
      <c r="I29" s="2"/>
      <c r="J29" s="3">
        <v>1983</v>
      </c>
      <c r="K29" s="22">
        <v>5.1856392797601298</v>
      </c>
      <c r="L29" s="22">
        <v>1.27215874987299</v>
      </c>
      <c r="M29" s="12">
        <f t="shared" si="3"/>
        <v>6.4577980296331194</v>
      </c>
      <c r="N29" s="11">
        <f t="shared" si="5"/>
        <v>6.3600181993181693</v>
      </c>
      <c r="O29" s="19">
        <v>97.779830314950402</v>
      </c>
      <c r="P29" s="6">
        <f t="shared" si="6"/>
        <v>1.5141357760999142E-2</v>
      </c>
      <c r="Q29" s="7"/>
      <c r="R29" s="18">
        <v>4699.1767999999993</v>
      </c>
      <c r="S29" s="12">
        <f t="shared" si="4"/>
        <v>4.962585517283217</v>
      </c>
    </row>
    <row r="30" spans="1:19" ht="16">
      <c r="A30" s="3">
        <v>1984</v>
      </c>
      <c r="B30" s="21">
        <v>15.640853776536799</v>
      </c>
      <c r="C30" s="13">
        <f t="shared" si="0"/>
        <v>57.34979718063493</v>
      </c>
      <c r="D30" s="24">
        <v>8342621</v>
      </c>
      <c r="E30" s="13">
        <f t="shared" si="1"/>
        <v>6.8743141011242068</v>
      </c>
      <c r="F30" s="13">
        <f t="shared" si="2"/>
        <v>42.732054295014613</v>
      </c>
      <c r="G30" s="10"/>
      <c r="H30" s="2"/>
      <c r="I30" s="2"/>
      <c r="J30" s="3">
        <v>1984</v>
      </c>
      <c r="K30" s="22">
        <v>5.3654555069035998</v>
      </c>
      <c r="L30" s="22">
        <v>1.4118114260781001</v>
      </c>
      <c r="M30" s="12">
        <f t="shared" si="3"/>
        <v>6.7772669329816999</v>
      </c>
      <c r="N30" s="11">
        <f t="shared" si="5"/>
        <v>6.67912807713342</v>
      </c>
      <c r="O30" s="19">
        <v>98.138855848280301</v>
      </c>
      <c r="P30" s="6">
        <f t="shared" si="6"/>
        <v>1.4480594732175249E-2</v>
      </c>
      <c r="Q30" s="7"/>
      <c r="R30" s="18">
        <v>4781.2333999999992</v>
      </c>
      <c r="S30" s="12">
        <f t="shared" si="4"/>
        <v>5.1221377903916059</v>
      </c>
    </row>
    <row r="31" spans="1:19" ht="16">
      <c r="A31" s="3">
        <v>1985</v>
      </c>
      <c r="B31" s="21">
        <v>17.0207445879613</v>
      </c>
      <c r="C31" s="13">
        <f t="shared" si="0"/>
        <v>62.409396822524769</v>
      </c>
      <c r="D31" s="24">
        <v>8358139</v>
      </c>
      <c r="E31" s="13">
        <f t="shared" si="1"/>
        <v>7.4669010437041994</v>
      </c>
      <c r="F31" s="13">
        <f t="shared" si="2"/>
        <v>42.745629324407808</v>
      </c>
      <c r="G31" s="10"/>
      <c r="H31" s="2"/>
      <c r="I31" s="2"/>
      <c r="J31" s="3">
        <v>1985</v>
      </c>
      <c r="K31" s="22">
        <v>5.5458269643276399</v>
      </c>
      <c r="L31" s="22">
        <v>1.33771324161347</v>
      </c>
      <c r="M31" s="12">
        <f t="shared" si="3"/>
        <v>6.8835402059411095</v>
      </c>
      <c r="N31" s="11">
        <f t="shared" si="5"/>
        <v>6.7832974749228665</v>
      </c>
      <c r="O31" s="19">
        <v>100.24273101824301</v>
      </c>
      <c r="P31" s="6">
        <f t="shared" si="6"/>
        <v>1.4562670954071653E-2</v>
      </c>
      <c r="Q31" s="7"/>
      <c r="R31" s="18">
        <v>4863.29</v>
      </c>
      <c r="S31" s="12">
        <f t="shared" si="4"/>
        <v>5.1142520272045973</v>
      </c>
    </row>
    <row r="32" spans="1:19" ht="16">
      <c r="A32" s="3">
        <v>1986</v>
      </c>
      <c r="B32" s="21">
        <v>16.924066384571201</v>
      </c>
      <c r="C32" s="13">
        <f t="shared" si="0"/>
        <v>62.054910076761075</v>
      </c>
      <c r="D32" s="24">
        <v>8381515</v>
      </c>
      <c r="E32" s="13">
        <f t="shared" si="1"/>
        <v>7.4037820223147097</v>
      </c>
      <c r="F32" s="13">
        <f t="shared" si="2"/>
        <v>42.441750556272964</v>
      </c>
      <c r="G32" s="10"/>
      <c r="H32" s="2"/>
      <c r="I32" s="2"/>
      <c r="J32" s="3">
        <v>1986</v>
      </c>
      <c r="K32" s="22">
        <v>5.6283439032509897</v>
      </c>
      <c r="L32" s="22">
        <v>1.31774665109921</v>
      </c>
      <c r="M32" s="12">
        <f t="shared" si="3"/>
        <v>6.9460905543501994</v>
      </c>
      <c r="N32" s="11">
        <f t="shared" si="5"/>
        <v>6.8386863914014961</v>
      </c>
      <c r="O32" s="19">
        <v>107.404162948703</v>
      </c>
      <c r="P32" s="6">
        <f t="shared" si="6"/>
        <v>1.5462534228183635E-2</v>
      </c>
      <c r="Q32" s="7"/>
      <c r="R32" s="18">
        <v>4951.9170000000004</v>
      </c>
      <c r="S32" s="12">
        <f t="shared" si="4"/>
        <v>5.0637325777348083</v>
      </c>
    </row>
    <row r="33" spans="1:19" ht="16">
      <c r="A33" s="3">
        <v>1987</v>
      </c>
      <c r="B33" s="21">
        <v>16.2922239595955</v>
      </c>
      <c r="C33" s="13">
        <f t="shared" si="0"/>
        <v>59.738154518516836</v>
      </c>
      <c r="D33" s="24">
        <v>8414083</v>
      </c>
      <c r="E33" s="13">
        <f t="shared" si="1"/>
        <v>7.0997819392222343</v>
      </c>
      <c r="F33" s="13">
        <f t="shared" si="2"/>
        <v>42.383297252895822</v>
      </c>
      <c r="G33" s="10"/>
      <c r="H33" s="2"/>
      <c r="I33" s="2"/>
      <c r="J33" s="3">
        <v>1987</v>
      </c>
      <c r="K33" s="22">
        <v>5.8049035434074501</v>
      </c>
      <c r="L33" s="22">
        <v>1.2636656655129399</v>
      </c>
      <c r="M33" s="12">
        <f t="shared" si="3"/>
        <v>7.0685692089203904</v>
      </c>
      <c r="N33" s="11">
        <f t="shared" si="5"/>
        <v>6.9245878282539328</v>
      </c>
      <c r="O33" s="19">
        <v>143.98138066645799</v>
      </c>
      <c r="P33" s="6">
        <f t="shared" si="6"/>
        <v>2.0369239716116299E-2</v>
      </c>
      <c r="Q33" s="7"/>
      <c r="R33" s="18">
        <v>5040.5440000000008</v>
      </c>
      <c r="S33" s="12">
        <f t="shared" si="4"/>
        <v>5.03718554391439</v>
      </c>
    </row>
    <row r="34" spans="1:19" ht="16">
      <c r="A34" s="3">
        <v>1988</v>
      </c>
      <c r="B34" s="21">
        <v>15.672795352336999</v>
      </c>
      <c r="C34" s="13">
        <f t="shared" si="0"/>
        <v>57.466916291902329</v>
      </c>
      <c r="D34" s="24">
        <v>8458888</v>
      </c>
      <c r="E34" s="13">
        <f t="shared" si="1"/>
        <v>6.7936726780047598</v>
      </c>
      <c r="F34" s="13">
        <f t="shared" si="2"/>
        <v>43.014077463099952</v>
      </c>
      <c r="G34" s="10"/>
      <c r="H34" s="2"/>
      <c r="I34" s="2"/>
      <c r="J34" s="3">
        <v>1988</v>
      </c>
      <c r="K34" s="22">
        <v>6.0329836316421996</v>
      </c>
      <c r="L34" s="22">
        <v>1.2292572411076701</v>
      </c>
      <c r="M34" s="12">
        <f t="shared" si="3"/>
        <v>7.26224087274987</v>
      </c>
      <c r="N34" s="11">
        <f t="shared" si="5"/>
        <v>7.1133321128826816</v>
      </c>
      <c r="O34" s="19">
        <v>148.908759867188</v>
      </c>
      <c r="P34" s="6">
        <f t="shared" si="6"/>
        <v>2.0504519538306534E-2</v>
      </c>
      <c r="Q34" s="7"/>
      <c r="R34" s="18">
        <v>5129.1710000000012</v>
      </c>
      <c r="S34" s="12">
        <f t="shared" si="4"/>
        <v>5.0850747123144258</v>
      </c>
    </row>
    <row r="35" spans="1:19" ht="16">
      <c r="A35" s="3">
        <v>1989</v>
      </c>
      <c r="B35" s="21">
        <v>15.1530498228455</v>
      </c>
      <c r="C35" s="13">
        <f t="shared" si="0"/>
        <v>55.561182683766837</v>
      </c>
      <c r="D35" s="24">
        <v>8527036</v>
      </c>
      <c r="E35" s="13">
        <f t="shared" si="1"/>
        <v>6.5158846149783853</v>
      </c>
      <c r="F35" s="13">
        <f t="shared" si="2"/>
        <v>42.845931065482603</v>
      </c>
      <c r="G35" s="10"/>
      <c r="H35" s="2"/>
      <c r="I35" s="2"/>
      <c r="J35" s="3">
        <v>1989</v>
      </c>
      <c r="K35" s="22">
        <v>6.11638451304683</v>
      </c>
      <c r="L35" s="22">
        <v>1.18824099964344</v>
      </c>
      <c r="M35" s="12">
        <f t="shared" si="3"/>
        <v>7.3046255126902704</v>
      </c>
      <c r="N35" s="11">
        <f t="shared" si="5"/>
        <v>7.1503503174527268</v>
      </c>
      <c r="O35" s="19">
        <v>154.27519523754401</v>
      </c>
      <c r="P35" s="6">
        <f t="shared" si="6"/>
        <v>2.112020595299826E-2</v>
      </c>
      <c r="Q35" s="7"/>
      <c r="R35" s="18">
        <v>5217.7980000000016</v>
      </c>
      <c r="S35" s="12">
        <f t="shared" si="4"/>
        <v>5.024715629848707</v>
      </c>
    </row>
    <row r="36" spans="1:19" s="46" customFormat="1" ht="16">
      <c r="A36" s="33">
        <v>1990</v>
      </c>
      <c r="B36" s="34">
        <v>15.6600266810166</v>
      </c>
      <c r="C36" s="35">
        <f>B36*44/12</f>
        <v>57.420097830394205</v>
      </c>
      <c r="D36" s="36">
        <v>8590630</v>
      </c>
      <c r="E36" s="35">
        <f>C36*1000000/D36</f>
        <v>6.6840380542980213</v>
      </c>
      <c r="F36" s="35">
        <f t="shared" si="2"/>
        <v>42.910588910693072</v>
      </c>
      <c r="G36" s="37"/>
      <c r="H36" s="38"/>
      <c r="I36" s="38"/>
      <c r="J36" s="33">
        <v>1990</v>
      </c>
      <c r="K36" s="39">
        <v>6.20696711067073</v>
      </c>
      <c r="L36" s="39">
        <v>1.17335641256856</v>
      </c>
      <c r="M36" s="40">
        <f t="shared" si="3"/>
        <v>7.3803235232392899</v>
      </c>
      <c r="N36" s="41">
        <f t="shared" si="5"/>
        <v>7.2288641046992055</v>
      </c>
      <c r="O36" s="42">
        <v>151.45941854008399</v>
      </c>
      <c r="P36" s="43">
        <f t="shared" si="6"/>
        <v>2.0522056799158733E-2</v>
      </c>
      <c r="Q36" s="44"/>
      <c r="R36" s="45">
        <v>5306.4250000000002</v>
      </c>
      <c r="S36" s="40">
        <f t="shared" si="4"/>
        <v>4.9950456381770687</v>
      </c>
    </row>
    <row r="37" spans="1:19" ht="16">
      <c r="A37" s="3">
        <v>1991</v>
      </c>
      <c r="B37" s="21">
        <v>15.762242657790599</v>
      </c>
      <c r="C37" s="13">
        <f t="shared" ref="C37:C66" si="7">B37*44/12</f>
        <v>57.794889745232204</v>
      </c>
      <c r="D37" s="24">
        <v>8644119</v>
      </c>
      <c r="E37" s="13">
        <f t="shared" ref="E37:E67" si="8">C37*1000000/D37</f>
        <v>6.6860358754006279</v>
      </c>
      <c r="F37" s="13">
        <f t="shared" ref="F37:F68" si="9">D37*S37/1000000</f>
        <v>43.160528383371421</v>
      </c>
      <c r="G37" s="10"/>
      <c r="H37" s="2"/>
      <c r="I37" s="2"/>
      <c r="J37" s="3">
        <v>1991</v>
      </c>
      <c r="K37" s="22">
        <v>6.3402868787719502</v>
      </c>
      <c r="L37" s="22">
        <v>1.1495867552065699</v>
      </c>
      <c r="M37" s="12">
        <f t="shared" si="3"/>
        <v>7.4898736339785206</v>
      </c>
      <c r="N37" s="11">
        <f t="shared" si="5"/>
        <v>7.340313285597432</v>
      </c>
      <c r="O37" s="19">
        <v>149.560348381089</v>
      </c>
      <c r="P37" s="6">
        <f t="shared" si="6"/>
        <v>1.9968340681022219E-2</v>
      </c>
      <c r="Q37" s="7"/>
      <c r="R37" s="18">
        <v>5390.3878000000004</v>
      </c>
      <c r="S37" s="12">
        <f t="shared" ref="S37:S68" si="10">N37*1000000000*44/12*1/(R37*1000000)</f>
        <v>4.9930511580615002</v>
      </c>
    </row>
    <row r="38" spans="1:19" ht="16">
      <c r="A38" s="3">
        <v>1992</v>
      </c>
      <c r="B38" s="21">
        <v>15.6919092025705</v>
      </c>
      <c r="C38" s="13">
        <f t="shared" si="7"/>
        <v>57.537000409425161</v>
      </c>
      <c r="D38" s="24">
        <v>8692013</v>
      </c>
      <c r="E38" s="13">
        <f t="shared" si="8"/>
        <v>6.6195253515411405</v>
      </c>
      <c r="F38" s="13">
        <f t="shared" si="9"/>
        <v>41.941610652388761</v>
      </c>
      <c r="G38" s="10"/>
      <c r="H38" s="2"/>
      <c r="I38" s="2"/>
      <c r="J38" s="3">
        <v>1992</v>
      </c>
      <c r="K38" s="22">
        <v>6.1576275920495398</v>
      </c>
      <c r="L38" s="22">
        <v>1.1985798487355499</v>
      </c>
      <c r="M38" s="12">
        <f t="shared" si="3"/>
        <v>7.3562074407850897</v>
      </c>
      <c r="N38" s="11">
        <f t="shared" si="5"/>
        <v>7.2042025490382802</v>
      </c>
      <c r="O38" s="19">
        <v>152.00489174680999</v>
      </c>
      <c r="P38" s="6">
        <f t="shared" si="6"/>
        <v>2.0663486310085254E-2</v>
      </c>
      <c r="Q38" s="7"/>
      <c r="R38" s="18">
        <v>5474.3506000000007</v>
      </c>
      <c r="S38" s="12">
        <f t="shared" si="10"/>
        <v>4.8253046391427121</v>
      </c>
    </row>
    <row r="39" spans="1:19" ht="16">
      <c r="A39" s="3">
        <v>1993</v>
      </c>
      <c r="B39" s="21">
        <v>15.703121612500601</v>
      </c>
      <c r="C39" s="13">
        <f t="shared" si="7"/>
        <v>57.578112579168874</v>
      </c>
      <c r="D39" s="24">
        <v>8745109</v>
      </c>
      <c r="E39" s="13">
        <f t="shared" si="8"/>
        <v>6.5840360113486147</v>
      </c>
      <c r="F39" s="13">
        <f t="shared" si="9"/>
        <v>41.768943337962831</v>
      </c>
      <c r="G39" s="10"/>
      <c r="H39" s="2"/>
      <c r="I39" s="2"/>
      <c r="J39" s="3">
        <v>1993</v>
      </c>
      <c r="K39" s="22">
        <v>6.22137946392934</v>
      </c>
      <c r="L39" s="22">
        <v>1.1717226899138899</v>
      </c>
      <c r="M39" s="12">
        <f t="shared" si="3"/>
        <v>7.3931021538432304</v>
      </c>
      <c r="N39" s="11">
        <f t="shared" si="5"/>
        <v>7.2403550204485594</v>
      </c>
      <c r="O39" s="19">
        <v>152.74713339467101</v>
      </c>
      <c r="P39" s="6">
        <f t="shared" si="6"/>
        <v>2.0660763265020886E-2</v>
      </c>
      <c r="Q39" s="7"/>
      <c r="R39" s="18">
        <v>5558.3134000000009</v>
      </c>
      <c r="S39" s="12">
        <f t="shared" si="10"/>
        <v>4.7762633190693027</v>
      </c>
    </row>
    <row r="40" spans="1:19" ht="16">
      <c r="A40" s="3">
        <v>1994</v>
      </c>
      <c r="B40" s="21">
        <v>16.375478658042699</v>
      </c>
      <c r="C40" s="13">
        <f t="shared" si="7"/>
        <v>60.043421746156561</v>
      </c>
      <c r="D40" s="24">
        <v>8816381</v>
      </c>
      <c r="E40" s="13">
        <f t="shared" si="8"/>
        <v>6.8104386307892728</v>
      </c>
      <c r="F40" s="13">
        <f t="shared" si="9"/>
        <v>42.508396069343853</v>
      </c>
      <c r="G40" s="10"/>
      <c r="H40" s="2"/>
      <c r="I40" s="2"/>
      <c r="J40" s="3">
        <v>1994</v>
      </c>
      <c r="K40" s="22">
        <v>6.2654061901060398</v>
      </c>
      <c r="L40" s="22">
        <v>1.3141153459946</v>
      </c>
      <c r="M40" s="12">
        <f t="shared" si="3"/>
        <v>7.5795215361006401</v>
      </c>
      <c r="N40" s="11">
        <f t="shared" si="5"/>
        <v>7.4193742753785372</v>
      </c>
      <c r="O40" s="19">
        <v>160.147260722103</v>
      </c>
      <c r="P40" s="6">
        <f t="shared" si="6"/>
        <v>2.1128940654015525E-2</v>
      </c>
      <c r="Q40" s="7"/>
      <c r="R40" s="18">
        <v>5642.2762000000012</v>
      </c>
      <c r="S40" s="12">
        <f t="shared" si="10"/>
        <v>4.8215243952528652</v>
      </c>
    </row>
    <row r="41" spans="1:19" ht="16">
      <c r="A41" s="3">
        <v>1995</v>
      </c>
      <c r="B41" s="21">
        <v>16.215727094258099</v>
      </c>
      <c r="C41" s="13">
        <f t="shared" si="7"/>
        <v>59.457666012279695</v>
      </c>
      <c r="D41" s="24">
        <v>8837496</v>
      </c>
      <c r="E41" s="13">
        <f t="shared" si="8"/>
        <v>6.727886045128586</v>
      </c>
      <c r="F41" s="13">
        <f t="shared" si="9"/>
        <v>42.614541007406565</v>
      </c>
      <c r="G41" s="10"/>
      <c r="H41" s="2"/>
      <c r="I41" s="2"/>
      <c r="J41" s="3">
        <v>1995</v>
      </c>
      <c r="K41" s="22">
        <v>6.3989097255219001</v>
      </c>
      <c r="L41" s="22">
        <v>1.3008212146081199</v>
      </c>
      <c r="M41" s="12">
        <f t="shared" si="3"/>
        <v>7.6997309401300198</v>
      </c>
      <c r="N41" s="11">
        <f t="shared" si="5"/>
        <v>7.5305487606560657</v>
      </c>
      <c r="O41" s="19">
        <v>169.18217947395399</v>
      </c>
      <c r="P41" s="6">
        <f t="shared" si="6"/>
        <v>2.1972479400831784E-2</v>
      </c>
      <c r="Q41" s="7"/>
      <c r="R41" s="18">
        <v>5726.2389999999996</v>
      </c>
      <c r="S41" s="12">
        <f t="shared" si="10"/>
        <v>4.8220153092467104</v>
      </c>
    </row>
    <row r="42" spans="1:19" ht="16">
      <c r="A42" s="3">
        <v>1996</v>
      </c>
      <c r="B42" s="21">
        <v>17.289833754887098</v>
      </c>
      <c r="C42" s="13">
        <f t="shared" si="7"/>
        <v>63.396057101252694</v>
      </c>
      <c r="D42" s="24">
        <v>8844499</v>
      </c>
      <c r="E42" s="13">
        <f t="shared" si="8"/>
        <v>7.1678516896494306</v>
      </c>
      <c r="F42" s="13">
        <f t="shared" si="9"/>
        <v>43.170142360877271</v>
      </c>
      <c r="G42" s="10"/>
      <c r="H42" s="2"/>
      <c r="I42" s="2"/>
      <c r="J42" s="3">
        <v>1996</v>
      </c>
      <c r="K42" s="22">
        <v>6.5900779454555103</v>
      </c>
      <c r="L42" s="22">
        <v>1.3212384105903401</v>
      </c>
      <c r="M42" s="12">
        <f t="shared" si="3"/>
        <v>7.9113163560458499</v>
      </c>
      <c r="N42" s="11">
        <f t="shared" si="5"/>
        <v>7.7282617683347388</v>
      </c>
      <c r="O42" s="19">
        <v>183.054587711111</v>
      </c>
      <c r="P42" s="6">
        <f t="shared" si="6"/>
        <v>2.3138322306024355E-2</v>
      </c>
      <c r="Q42" s="7"/>
      <c r="R42" s="18">
        <v>5805.5451999999996</v>
      </c>
      <c r="S42" s="12">
        <f t="shared" si="10"/>
        <v>4.8810161390574267</v>
      </c>
    </row>
    <row r="43" spans="1:19" ht="16">
      <c r="A43" s="3">
        <v>1997</v>
      </c>
      <c r="B43" s="21">
        <v>15.8982526732654</v>
      </c>
      <c r="C43" s="13">
        <f t="shared" si="7"/>
        <v>58.293593135306473</v>
      </c>
      <c r="D43" s="24">
        <v>8847625</v>
      </c>
      <c r="E43" s="13">
        <f t="shared" si="8"/>
        <v>6.5886148130494311</v>
      </c>
      <c r="F43" s="13">
        <f t="shared" si="9"/>
        <v>45.527788533486991</v>
      </c>
      <c r="G43" s="10"/>
      <c r="H43" s="2"/>
      <c r="I43" s="2"/>
      <c r="J43" s="3">
        <v>1997</v>
      </c>
      <c r="K43" s="22">
        <v>6.6306988631239703</v>
      </c>
      <c r="L43" s="22">
        <v>1.82059021301644</v>
      </c>
      <c r="M43" s="12">
        <f t="shared" si="3"/>
        <v>8.4512890761404105</v>
      </c>
      <c r="N43" s="11">
        <f t="shared" si="5"/>
        <v>8.2587423720087649</v>
      </c>
      <c r="O43" s="19">
        <v>192.54670413164601</v>
      </c>
      <c r="P43" s="6">
        <f t="shared" si="6"/>
        <v>2.2783116563275752E-2</v>
      </c>
      <c r="Q43" s="7"/>
      <c r="R43" s="18">
        <v>5884.8513999999996</v>
      </c>
      <c r="S43" s="12">
        <f t="shared" si="10"/>
        <v>5.1457638104561383</v>
      </c>
    </row>
    <row r="44" spans="1:19" ht="16">
      <c r="A44" s="3">
        <v>1998</v>
      </c>
      <c r="B44" s="21">
        <v>16.026708017308898</v>
      </c>
      <c r="C44" s="13">
        <f t="shared" si="7"/>
        <v>58.764596063465966</v>
      </c>
      <c r="D44" s="24">
        <v>8854322</v>
      </c>
      <c r="E44" s="13">
        <f t="shared" si="8"/>
        <v>6.6368261808714397</v>
      </c>
      <c r="F44" s="13">
        <f t="shared" si="9"/>
        <v>42.473303523147088</v>
      </c>
      <c r="G44" s="10"/>
      <c r="H44" s="2"/>
      <c r="I44" s="2"/>
      <c r="J44" s="3">
        <v>1998</v>
      </c>
      <c r="K44" s="22">
        <v>6.6053586699879796</v>
      </c>
      <c r="L44" s="22">
        <v>1.40131494564395</v>
      </c>
      <c r="M44" s="12">
        <f t="shared" si="3"/>
        <v>8.0066736156319287</v>
      </c>
      <c r="N44" s="11">
        <f t="shared" si="5"/>
        <v>7.8025832316595167</v>
      </c>
      <c r="O44" s="19">
        <v>204.09038397241201</v>
      </c>
      <c r="P44" s="6">
        <f t="shared" si="6"/>
        <v>2.5490034160247727E-2</v>
      </c>
      <c r="Q44" s="7"/>
      <c r="R44" s="18">
        <v>5964.1575999999995</v>
      </c>
      <c r="S44" s="12">
        <f t="shared" si="10"/>
        <v>4.7969007139278528</v>
      </c>
    </row>
    <row r="45" spans="1:19" ht="16">
      <c r="A45" s="3">
        <v>1999</v>
      </c>
      <c r="B45" s="21">
        <v>15.2449166166876</v>
      </c>
      <c r="C45" s="13">
        <f t="shared" si="7"/>
        <v>55.898027594521203</v>
      </c>
      <c r="D45" s="24">
        <v>8861426</v>
      </c>
      <c r="E45" s="13">
        <f t="shared" si="8"/>
        <v>6.3080171966138634</v>
      </c>
      <c r="F45" s="13">
        <f t="shared" si="9"/>
        <v>42.282346603234984</v>
      </c>
      <c r="G45" s="10"/>
      <c r="H45" s="2"/>
      <c r="I45" s="2"/>
      <c r="J45" s="3">
        <v>1999</v>
      </c>
      <c r="K45" s="22">
        <v>6.6907376347379302</v>
      </c>
      <c r="L45" s="22">
        <v>1.38455844223987</v>
      </c>
      <c r="M45" s="12">
        <f t="shared" si="3"/>
        <v>8.0752960769777999</v>
      </c>
      <c r="N45" s="11">
        <f t="shared" si="5"/>
        <v>7.864479078681331</v>
      </c>
      <c r="O45" s="19">
        <v>210.816998296469</v>
      </c>
      <c r="P45" s="6">
        <f t="shared" si="6"/>
        <v>2.6106410995566591E-2</v>
      </c>
      <c r="Q45" s="7"/>
      <c r="R45" s="18">
        <v>6043.4637999999995</v>
      </c>
      <c r="S45" s="12">
        <f t="shared" si="10"/>
        <v>4.7715059182613482</v>
      </c>
    </row>
    <row r="46" spans="1:19" ht="16">
      <c r="A46" s="3">
        <v>2000</v>
      </c>
      <c r="B46" s="21">
        <v>14.931714779621</v>
      </c>
      <c r="C46" s="13">
        <f t="shared" si="7"/>
        <v>54.749620858610335</v>
      </c>
      <c r="D46" s="24">
        <v>8882792</v>
      </c>
      <c r="E46" s="13">
        <f t="shared" si="8"/>
        <v>6.1635599323512622</v>
      </c>
      <c r="F46" s="13">
        <f t="shared" si="9"/>
        <v>42.080499596255066</v>
      </c>
      <c r="G46" s="10"/>
      <c r="H46" s="2"/>
      <c r="I46" s="2"/>
      <c r="J46" s="3">
        <v>2000</v>
      </c>
      <c r="K46" s="22">
        <v>6.8859606814941499</v>
      </c>
      <c r="L46" s="22">
        <v>1.23834240280816</v>
      </c>
      <c r="M46" s="12">
        <f t="shared" si="3"/>
        <v>8.1243030843023103</v>
      </c>
      <c r="N46" s="11">
        <f t="shared" si="5"/>
        <v>7.9105724000751101</v>
      </c>
      <c r="O46" s="19">
        <v>213.73068422719999</v>
      </c>
      <c r="P46" s="6">
        <f t="shared" si="6"/>
        <v>2.630757149375287E-2</v>
      </c>
      <c r="Q46" s="7"/>
      <c r="R46" s="18">
        <v>6122.77</v>
      </c>
      <c r="S46" s="12">
        <f t="shared" si="10"/>
        <v>4.7373055224365341</v>
      </c>
    </row>
    <row r="47" spans="1:19" ht="16">
      <c r="A47" s="3">
        <v>2001</v>
      </c>
      <c r="B47" s="21">
        <v>15.184947735106499</v>
      </c>
      <c r="C47" s="13">
        <f t="shared" si="7"/>
        <v>55.678141695390501</v>
      </c>
      <c r="D47" s="24">
        <v>8909128</v>
      </c>
      <c r="E47" s="13">
        <f t="shared" si="8"/>
        <v>6.2495613145742768</v>
      </c>
      <c r="F47" s="13">
        <f t="shared" si="9"/>
        <v>41.466035880635808</v>
      </c>
      <c r="G47" s="10"/>
      <c r="H47" s="2"/>
      <c r="I47" s="2"/>
      <c r="J47" s="3">
        <v>2001</v>
      </c>
      <c r="K47" s="22">
        <v>6.9451827196521601</v>
      </c>
      <c r="L47" s="22">
        <v>1.13671228370396</v>
      </c>
      <c r="M47" s="12">
        <f t="shared" si="3"/>
        <v>8.0818950033561201</v>
      </c>
      <c r="N47" s="11">
        <f t="shared" si="5"/>
        <v>7.8694750511583091</v>
      </c>
      <c r="O47" s="19">
        <v>212.419952197811</v>
      </c>
      <c r="P47" s="6">
        <f t="shared" si="6"/>
        <v>2.6283433787447207E-2</v>
      </c>
      <c r="Q47" s="7"/>
      <c r="R47" s="18">
        <v>6199.5458000000008</v>
      </c>
      <c r="S47" s="12">
        <f t="shared" si="10"/>
        <v>4.6543315889765875</v>
      </c>
    </row>
    <row r="48" spans="1:19" ht="16">
      <c r="A48" s="3">
        <v>2002</v>
      </c>
      <c r="B48" s="21">
        <v>15.449507226744901</v>
      </c>
      <c r="C48" s="13">
        <f t="shared" si="7"/>
        <v>56.648193164731303</v>
      </c>
      <c r="D48" s="24">
        <v>8940788</v>
      </c>
      <c r="E48" s="13">
        <f t="shared" si="8"/>
        <v>6.3359284623157714</v>
      </c>
      <c r="F48" s="13">
        <f t="shared" si="9"/>
        <v>42.706062513324639</v>
      </c>
      <c r="G48" s="10"/>
      <c r="H48" s="2"/>
      <c r="I48" s="2"/>
      <c r="J48" s="3">
        <v>2002</v>
      </c>
      <c r="K48" s="22">
        <v>7.1058552338813801</v>
      </c>
      <c r="L48" s="22">
        <v>1.287697919452</v>
      </c>
      <c r="M48" s="12">
        <f t="shared" si="3"/>
        <v>8.3935531533333805</v>
      </c>
      <c r="N48" s="11">
        <f t="shared" si="5"/>
        <v>8.176124437292728</v>
      </c>
      <c r="O48" s="19">
        <v>217.42871604065201</v>
      </c>
      <c r="P48" s="6">
        <f t="shared" si="6"/>
        <v>2.5904251997773228E-2</v>
      </c>
      <c r="Q48" s="7"/>
      <c r="R48" s="18">
        <v>6276.3216000000011</v>
      </c>
      <c r="S48" s="12">
        <f t="shared" si="10"/>
        <v>4.7765434672340561</v>
      </c>
    </row>
    <row r="49" spans="1:19" ht="16">
      <c r="A49" s="3">
        <v>2003</v>
      </c>
      <c r="B49" s="21">
        <v>15.608174769358399</v>
      </c>
      <c r="C49" s="13">
        <f t="shared" si="7"/>
        <v>57.229974154314128</v>
      </c>
      <c r="D49" s="24">
        <v>8975670</v>
      </c>
      <c r="E49" s="13">
        <f t="shared" si="8"/>
        <v>6.3761228024553187</v>
      </c>
      <c r="F49" s="13">
        <f t="shared" si="9"/>
        <v>44.713194755206864</v>
      </c>
      <c r="G49" s="10"/>
      <c r="H49" s="2"/>
      <c r="I49" s="2"/>
      <c r="J49" s="3">
        <v>2003</v>
      </c>
      <c r="K49" s="22">
        <v>7.4682055674419496</v>
      </c>
      <c r="L49" s="22">
        <v>1.39010841002953</v>
      </c>
      <c r="M49" s="12">
        <f t="shared" si="3"/>
        <v>8.8583139774714788</v>
      </c>
      <c r="N49" s="11">
        <f t="shared" si="5"/>
        <v>8.6314330754442068</v>
      </c>
      <c r="O49" s="19">
        <v>226.88090202727199</v>
      </c>
      <c r="P49" s="6">
        <f t="shared" si="6"/>
        <v>2.5612199184210104E-2</v>
      </c>
      <c r="Q49" s="7"/>
      <c r="R49" s="18">
        <v>6353.0974000000015</v>
      </c>
      <c r="S49" s="12">
        <f t="shared" si="10"/>
        <v>4.9815996750333804</v>
      </c>
    </row>
    <row r="50" spans="1:19" ht="16">
      <c r="A50" s="3">
        <v>2004</v>
      </c>
      <c r="B50" s="21">
        <v>15.420627537677399</v>
      </c>
      <c r="C50" s="13">
        <f t="shared" si="7"/>
        <v>56.542300971483797</v>
      </c>
      <c r="D50" s="24">
        <v>9011392</v>
      </c>
      <c r="E50" s="13">
        <f t="shared" si="8"/>
        <v>6.2745357178429035</v>
      </c>
      <c r="F50" s="13">
        <f t="shared" si="9"/>
        <v>45.296704627583104</v>
      </c>
      <c r="G50" s="10"/>
      <c r="H50" s="2"/>
      <c r="I50" s="2"/>
      <c r="J50" s="3">
        <v>2004</v>
      </c>
      <c r="K50" s="22">
        <v>7.8122933949645299</v>
      </c>
      <c r="L50" s="22">
        <v>1.2489885914962899</v>
      </c>
      <c r="M50" s="12">
        <f t="shared" si="3"/>
        <v>9.0612819864608198</v>
      </c>
      <c r="N50" s="11">
        <f t="shared" si="5"/>
        <v>8.8146628118521146</v>
      </c>
      <c r="O50" s="19">
        <v>246.619174608706</v>
      </c>
      <c r="P50" s="6">
        <f t="shared" si="6"/>
        <v>2.7216808281344658E-2</v>
      </c>
      <c r="Q50" s="7"/>
      <c r="R50" s="18">
        <v>6429.8732000000018</v>
      </c>
      <c r="S50" s="12">
        <f t="shared" si="10"/>
        <v>5.0266046164214258</v>
      </c>
    </row>
    <row r="51" spans="1:19" ht="16">
      <c r="A51" s="3">
        <v>2005</v>
      </c>
      <c r="B51" s="21">
        <v>14.7064455332973</v>
      </c>
      <c r="C51" s="13">
        <f t="shared" si="7"/>
        <v>53.923633622090101</v>
      </c>
      <c r="D51" s="24">
        <v>9047752</v>
      </c>
      <c r="E51" s="13">
        <f t="shared" si="8"/>
        <v>5.9598929791720749</v>
      </c>
      <c r="F51" s="13">
        <f t="shared" si="9"/>
        <v>45.469941750426344</v>
      </c>
      <c r="G51" s="10"/>
      <c r="H51" s="2"/>
      <c r="I51" s="2"/>
      <c r="J51" s="3">
        <v>2005</v>
      </c>
      <c r="K51" s="22">
        <v>8.0783377088778998</v>
      </c>
      <c r="L51" s="22">
        <v>1.1189718644072999</v>
      </c>
      <c r="M51" s="12">
        <f t="shared" si="3"/>
        <v>9.1973095732851995</v>
      </c>
      <c r="N51" s="11">
        <f t="shared" si="5"/>
        <v>8.9403352717333302</v>
      </c>
      <c r="O51" s="19">
        <v>256.97430155186998</v>
      </c>
      <c r="P51" s="6">
        <f t="shared" si="6"/>
        <v>2.7940160054880158E-2</v>
      </c>
      <c r="Q51" s="7"/>
      <c r="R51" s="18">
        <v>6522.9120999999996</v>
      </c>
      <c r="S51" s="12">
        <f t="shared" si="10"/>
        <v>5.025551291682878</v>
      </c>
    </row>
    <row r="52" spans="1:19" ht="16">
      <c r="A52" s="3">
        <v>2006</v>
      </c>
      <c r="B52" s="21">
        <v>14.656833727936601</v>
      </c>
      <c r="C52" s="13">
        <f t="shared" si="7"/>
        <v>53.741723669100871</v>
      </c>
      <c r="D52" s="24">
        <v>9113257</v>
      </c>
      <c r="E52" s="13">
        <f t="shared" si="8"/>
        <v>5.8970929568979429</v>
      </c>
      <c r="F52" s="13">
        <f t="shared" si="9"/>
        <v>47.253694761411481</v>
      </c>
      <c r="G52" s="10"/>
      <c r="H52" s="2"/>
      <c r="I52" s="2"/>
      <c r="J52" s="3">
        <v>2006</v>
      </c>
      <c r="K52" s="22">
        <v>8.3459964463919096</v>
      </c>
      <c r="L52" s="22">
        <v>1.26637114567502</v>
      </c>
      <c r="M52" s="12">
        <f t="shared" si="3"/>
        <v>9.6123675920669296</v>
      </c>
      <c r="N52" s="11">
        <f t="shared" si="5"/>
        <v>9.3410424542000463</v>
      </c>
      <c r="O52" s="19">
        <v>271.32513786688298</v>
      </c>
      <c r="P52" s="6">
        <f t="shared" si="6"/>
        <v>2.8226671032723215E-2</v>
      </c>
      <c r="Q52" s="7"/>
      <c r="R52" s="18">
        <v>6605.4836599999999</v>
      </c>
      <c r="S52" s="12">
        <f t="shared" si="10"/>
        <v>5.1851599007261049</v>
      </c>
    </row>
    <row r="53" spans="1:19" ht="16">
      <c r="A53" s="3">
        <v>2007</v>
      </c>
      <c r="B53" s="21">
        <v>14.4569299880882</v>
      </c>
      <c r="C53" s="13">
        <f t="shared" si="7"/>
        <v>53.008743289656735</v>
      </c>
      <c r="D53" s="24">
        <v>9182927</v>
      </c>
      <c r="E53" s="13">
        <f t="shared" si="8"/>
        <v>5.7725323624653377</v>
      </c>
      <c r="F53" s="13">
        <f t="shared" si="9"/>
        <v>47.383069229987399</v>
      </c>
      <c r="G53" s="10"/>
      <c r="H53" s="2"/>
      <c r="I53" s="2"/>
      <c r="J53" s="3">
        <v>2007</v>
      </c>
      <c r="K53" s="22">
        <v>8.5943901050123408</v>
      </c>
      <c r="L53" s="22">
        <v>1.10442030385473</v>
      </c>
      <c r="M53" s="12">
        <f t="shared" si="3"/>
        <v>9.6988104088670717</v>
      </c>
      <c r="N53" s="11">
        <f t="shared" si="5"/>
        <v>9.4117520333679678</v>
      </c>
      <c r="O53" s="19">
        <v>287.05837549910302</v>
      </c>
      <c r="P53" s="6">
        <f t="shared" si="6"/>
        <v>2.9597276717221097E-2</v>
      </c>
      <c r="Q53" s="7"/>
      <c r="R53" s="18">
        <v>6688.0552200000002</v>
      </c>
      <c r="S53" s="12">
        <f t="shared" si="10"/>
        <v>5.159909169482388</v>
      </c>
    </row>
    <row r="54" spans="1:19" ht="16">
      <c r="A54" s="3">
        <v>2008</v>
      </c>
      <c r="B54" s="21">
        <v>13.8883294667129</v>
      </c>
      <c r="C54" s="13">
        <f t="shared" si="7"/>
        <v>50.923874711280632</v>
      </c>
      <c r="D54" s="24">
        <v>9256347</v>
      </c>
      <c r="E54" s="13">
        <f t="shared" si="8"/>
        <v>5.5015088253801014</v>
      </c>
      <c r="F54" s="13">
        <f t="shared" si="9"/>
        <v>48.075431331901015</v>
      </c>
      <c r="G54" s="10"/>
      <c r="H54" s="2"/>
      <c r="I54" s="2"/>
      <c r="J54" s="3">
        <v>2008</v>
      </c>
      <c r="K54" s="22">
        <v>8.7515759836653597</v>
      </c>
      <c r="L54" s="22">
        <v>1.1296045542776501</v>
      </c>
      <c r="M54" s="12">
        <f t="shared" si="3"/>
        <v>9.8811805379430098</v>
      </c>
      <c r="N54" s="11">
        <f t="shared" si="5"/>
        <v>9.5904946333527619</v>
      </c>
      <c r="O54" s="19">
        <v>290.68590459024699</v>
      </c>
      <c r="P54" s="6">
        <f t="shared" si="6"/>
        <v>2.941813515844938E-2</v>
      </c>
      <c r="Q54" s="7"/>
      <c r="R54" s="18">
        <v>6770.6267800000005</v>
      </c>
      <c r="S54" s="12">
        <f t="shared" si="10"/>
        <v>5.1937801523539484</v>
      </c>
    </row>
    <row r="55" spans="1:19" ht="16">
      <c r="A55" s="3">
        <v>2009</v>
      </c>
      <c r="B55" s="21">
        <v>12.8963431284782</v>
      </c>
      <c r="C55" s="13">
        <f t="shared" si="7"/>
        <v>47.28659147108673</v>
      </c>
      <c r="D55" s="24">
        <v>9340682</v>
      </c>
      <c r="E55" s="13">
        <f t="shared" si="8"/>
        <v>5.0624345707397742</v>
      </c>
      <c r="F55" s="13">
        <f t="shared" si="9"/>
        <v>47.893088445309601</v>
      </c>
      <c r="G55" s="10"/>
      <c r="H55" s="2"/>
      <c r="I55" s="2"/>
      <c r="J55" s="3">
        <v>2009</v>
      </c>
      <c r="K55" s="22">
        <v>8.6253799615661499</v>
      </c>
      <c r="L55" s="22">
        <v>1.23614657040923</v>
      </c>
      <c r="M55" s="12">
        <f t="shared" si="3"/>
        <v>9.8615265319753806</v>
      </c>
      <c r="N55" s="11">
        <f t="shared" si="5"/>
        <v>9.5833230348763792</v>
      </c>
      <c r="O55" s="19">
        <v>278.20349709900103</v>
      </c>
      <c r="P55" s="6">
        <f t="shared" si="6"/>
        <v>2.8210997171375412E-2</v>
      </c>
      <c r="Q55" s="7"/>
      <c r="R55" s="18">
        <v>6853.1983400000008</v>
      </c>
      <c r="S55" s="12">
        <f t="shared" si="10"/>
        <v>5.1273652657599946</v>
      </c>
    </row>
    <row r="56" spans="1:19" ht="16">
      <c r="A56" s="3">
        <v>2010</v>
      </c>
      <c r="B56" s="21">
        <v>14.499550538167499</v>
      </c>
      <c r="C56" s="13">
        <f t="shared" si="7"/>
        <v>53.165018639947498</v>
      </c>
      <c r="D56" s="24">
        <v>9415570</v>
      </c>
      <c r="E56" s="13">
        <f t="shared" si="8"/>
        <v>5.6465002798500246</v>
      </c>
      <c r="F56" s="13">
        <f t="shared" si="9"/>
        <v>49.634546589847034</v>
      </c>
      <c r="G56" s="10"/>
      <c r="H56" s="2"/>
      <c r="I56" s="2"/>
      <c r="J56" s="3">
        <v>2010</v>
      </c>
      <c r="K56" s="22">
        <v>9.0993760753872301</v>
      </c>
      <c r="L56" s="22">
        <v>1.1678115178434501</v>
      </c>
      <c r="M56" s="12">
        <f t="shared" si="3"/>
        <v>10.26718759323068</v>
      </c>
      <c r="N56" s="11">
        <f t="shared" si="5"/>
        <v>9.971504479128491</v>
      </c>
      <c r="O56" s="19">
        <v>295.68311410219002</v>
      </c>
      <c r="P56" s="6">
        <f t="shared" si="6"/>
        <v>2.8798842079903027E-2</v>
      </c>
      <c r="Q56" s="7"/>
      <c r="R56" s="18">
        <v>6935.7699000000002</v>
      </c>
      <c r="S56" s="12">
        <f t="shared" si="10"/>
        <v>5.2715392259679481</v>
      </c>
    </row>
    <row r="57" spans="1:19" ht="16">
      <c r="A57" s="3">
        <v>2011</v>
      </c>
      <c r="B57" s="21">
        <v>13.4435778276804</v>
      </c>
      <c r="C57" s="13">
        <f t="shared" si="7"/>
        <v>49.293118701494798</v>
      </c>
      <c r="D57" s="24">
        <v>9482855</v>
      </c>
      <c r="E57" s="13">
        <f t="shared" si="8"/>
        <v>5.1981305947939518</v>
      </c>
      <c r="F57" s="13">
        <f t="shared" si="9"/>
        <v>51.618153401416166</v>
      </c>
      <c r="G57" s="10"/>
      <c r="H57" s="2"/>
      <c r="I57" s="2"/>
      <c r="J57" s="3">
        <v>2011</v>
      </c>
      <c r="K57" s="22">
        <v>9.4064170703450998</v>
      </c>
      <c r="L57" s="22">
        <v>1.31854201345431</v>
      </c>
      <c r="M57" s="12">
        <f t="shared" si="3"/>
        <v>10.72495908379941</v>
      </c>
      <c r="N57" s="11">
        <f t="shared" si="5"/>
        <v>10.422324734893524</v>
      </c>
      <c r="O57" s="19">
        <v>302.63434890588599</v>
      </c>
      <c r="P57" s="6">
        <f t="shared" si="6"/>
        <v>2.8217762561260525E-2</v>
      </c>
      <c r="Q57" s="7"/>
      <c r="R57" s="18">
        <v>7020.5749000000005</v>
      </c>
      <c r="S57" s="12">
        <f t="shared" si="10"/>
        <v>5.4433135802894981</v>
      </c>
    </row>
    <row r="58" spans="1:19" ht="16">
      <c r="A58" s="3">
        <v>2012</v>
      </c>
      <c r="B58" s="21">
        <v>12.7657889897378</v>
      </c>
      <c r="C58" s="13">
        <f t="shared" si="7"/>
        <v>46.80789296237193</v>
      </c>
      <c r="D58" s="24">
        <v>9555893</v>
      </c>
      <c r="E58" s="13">
        <f t="shared" si="8"/>
        <v>4.8983274469871034</v>
      </c>
      <c r="F58" s="13">
        <f t="shared" si="9"/>
        <v>51.880923039206408</v>
      </c>
      <c r="G58" s="10"/>
      <c r="H58" s="2"/>
      <c r="I58" s="2"/>
      <c r="J58" s="3">
        <v>2012</v>
      </c>
      <c r="K58" s="22">
        <v>9.5443899952692099</v>
      </c>
      <c r="L58" s="22">
        <v>1.27632091081112</v>
      </c>
      <c r="M58" s="12">
        <f t="shared" si="3"/>
        <v>10.820710906080329</v>
      </c>
      <c r="N58" s="11">
        <f t="shared" si="5"/>
        <v>10.520885368076705</v>
      </c>
      <c r="O58" s="19">
        <v>299.82553800362501</v>
      </c>
      <c r="P58" s="6">
        <f t="shared" si="6"/>
        <v>2.7708487973294643E-2</v>
      </c>
      <c r="Q58" s="7"/>
      <c r="R58" s="18">
        <v>7105.3799000000008</v>
      </c>
      <c r="S58" s="12">
        <f t="shared" si="10"/>
        <v>5.4292071959372512</v>
      </c>
    </row>
    <row r="59" spans="1:19" ht="16">
      <c r="A59" s="3">
        <v>2013</v>
      </c>
      <c r="B59" s="21">
        <v>12.3378810472092</v>
      </c>
      <c r="C59" s="13">
        <f t="shared" si="7"/>
        <v>45.238897173100405</v>
      </c>
      <c r="D59" s="24">
        <v>9644864</v>
      </c>
      <c r="E59" s="13">
        <f t="shared" si="8"/>
        <v>4.690465015691295</v>
      </c>
      <c r="F59" s="13">
        <f t="shared" si="9"/>
        <v>51.656319562872966</v>
      </c>
      <c r="G59" s="10"/>
      <c r="H59" s="2"/>
      <c r="I59" s="2"/>
      <c r="J59" s="3">
        <v>2013</v>
      </c>
      <c r="K59" s="22">
        <v>9.6287402542137102</v>
      </c>
      <c r="L59" s="22">
        <v>1.17816299027291</v>
      </c>
      <c r="M59" s="12">
        <f t="shared" si="3"/>
        <v>10.80690324448662</v>
      </c>
      <c r="N59" s="11">
        <f t="shared" si="5"/>
        <v>10.502579561625485</v>
      </c>
      <c r="O59" s="19">
        <v>304.32368286113399</v>
      </c>
      <c r="P59" s="6">
        <f t="shared" si="6"/>
        <v>2.8160119136478014E-2</v>
      </c>
      <c r="Q59" s="7"/>
      <c r="R59" s="18">
        <v>7190.1849000000011</v>
      </c>
      <c r="S59" s="12">
        <f t="shared" si="10"/>
        <v>5.355837009508166</v>
      </c>
    </row>
    <row r="60" spans="1:19" ht="16">
      <c r="A60" s="3">
        <v>2014</v>
      </c>
      <c r="B60" s="21">
        <v>11.8274955877762</v>
      </c>
      <c r="C60" s="13">
        <f t="shared" si="7"/>
        <v>43.367483821846065</v>
      </c>
      <c r="D60" s="24">
        <v>9747355</v>
      </c>
      <c r="E60" s="13">
        <f t="shared" si="8"/>
        <v>4.4491540342837688</v>
      </c>
      <c r="F60" s="13">
        <f t="shared" si="9"/>
        <v>52.250656353386098</v>
      </c>
      <c r="G60" s="10"/>
      <c r="H60" s="2"/>
      <c r="I60" s="2"/>
      <c r="J60" s="3">
        <v>2014</v>
      </c>
      <c r="K60" s="22">
        <v>9.6974869552887206</v>
      </c>
      <c r="L60" s="22">
        <v>1.2455498912469201</v>
      </c>
      <c r="M60" s="12">
        <f t="shared" si="3"/>
        <v>10.943036846535641</v>
      </c>
      <c r="N60" s="11">
        <f t="shared" si="5"/>
        <v>10.635696385119713</v>
      </c>
      <c r="O60" s="19">
        <v>307.340461415927</v>
      </c>
      <c r="P60" s="6">
        <f t="shared" si="6"/>
        <v>2.8085481729253719E-2</v>
      </c>
      <c r="Q60" s="7"/>
      <c r="R60" s="18">
        <v>7274.9899000000014</v>
      </c>
      <c r="S60" s="12">
        <f t="shared" si="10"/>
        <v>5.3604958835895582</v>
      </c>
    </row>
    <row r="61" spans="1:19" ht="16">
      <c r="A61" s="3">
        <v>2015</v>
      </c>
      <c r="B61" s="21">
        <v>11.900273068196</v>
      </c>
      <c r="C61" s="13">
        <f t="shared" si="7"/>
        <v>43.634334583385339</v>
      </c>
      <c r="D61" s="24">
        <v>9851017</v>
      </c>
      <c r="E61" s="13">
        <f t="shared" si="8"/>
        <v>4.4294243511492608</v>
      </c>
      <c r="F61" s="13">
        <f t="shared" si="9"/>
        <v>52.361525108198428</v>
      </c>
      <c r="G61" s="10"/>
      <c r="H61" s="2"/>
      <c r="I61" s="2"/>
      <c r="J61" s="3">
        <v>2015</v>
      </c>
      <c r="K61" s="22">
        <v>9.6871373635491196</v>
      </c>
      <c r="L61" s="22">
        <v>1.3010114068515399</v>
      </c>
      <c r="M61" s="12">
        <f t="shared" si="3"/>
        <v>10.98814877040066</v>
      </c>
      <c r="N61" s="11">
        <f t="shared" si="5"/>
        <v>10.669043855551548</v>
      </c>
      <c r="O61" s="19">
        <v>319.10491484911103</v>
      </c>
      <c r="P61" s="6">
        <f t="shared" si="6"/>
        <v>2.9040825849455217E-2</v>
      </c>
      <c r="Q61" s="7"/>
      <c r="R61" s="18">
        <v>7359.7948999999999</v>
      </c>
      <c r="S61" s="12">
        <f t="shared" si="10"/>
        <v>5.3153420716052393</v>
      </c>
    </row>
    <row r="62" spans="1:19" ht="16">
      <c r="A62" s="3">
        <v>2016</v>
      </c>
      <c r="B62" s="21">
        <v>11.8073167812314</v>
      </c>
      <c r="C62" s="13">
        <f t="shared" si="7"/>
        <v>43.293494864515132</v>
      </c>
      <c r="D62" s="24">
        <v>9995153</v>
      </c>
      <c r="E62" s="13">
        <f t="shared" si="8"/>
        <v>4.3314489397526117</v>
      </c>
      <c r="F62" s="13">
        <f t="shared" si="9"/>
        <v>51.111579931404826</v>
      </c>
      <c r="G62" s="10"/>
      <c r="H62" s="2"/>
      <c r="I62" s="2"/>
      <c r="J62" s="3">
        <v>2016</v>
      </c>
      <c r="K62" s="22">
        <v>9.6752124688166905</v>
      </c>
      <c r="L62" s="22">
        <v>1.0108009060693499</v>
      </c>
      <c r="M62" s="12">
        <f t="shared" si="3"/>
        <v>10.686013374886041</v>
      </c>
      <c r="N62" s="11">
        <f t="shared" si="5"/>
        <v>10.363118026130769</v>
      </c>
      <c r="O62" s="19">
        <v>322.89534875527301</v>
      </c>
      <c r="P62" s="6">
        <f t="shared" si="6"/>
        <v>3.0216633409249915E-2</v>
      </c>
      <c r="Q62" s="7"/>
      <c r="R62" s="18">
        <v>7430.7391399999997</v>
      </c>
      <c r="S62" s="12">
        <f t="shared" si="10"/>
        <v>5.1136365727873132</v>
      </c>
    </row>
    <row r="63" spans="1:19" ht="16">
      <c r="A63" s="3">
        <v>2017</v>
      </c>
      <c r="B63" s="21">
        <v>11.624925759316</v>
      </c>
      <c r="C63" s="13">
        <f t="shared" si="7"/>
        <v>42.624727784158665</v>
      </c>
      <c r="D63" s="24">
        <v>10120242</v>
      </c>
      <c r="E63" s="13">
        <f t="shared" si="8"/>
        <v>4.2118289052928439</v>
      </c>
      <c r="F63" s="13">
        <f t="shared" si="9"/>
        <v>51.782961110907365</v>
      </c>
      <c r="G63" s="10"/>
      <c r="H63" s="2"/>
      <c r="I63" s="2"/>
      <c r="J63" s="3">
        <v>2017</v>
      </c>
      <c r="K63" s="22">
        <v>9.8043347520298791</v>
      </c>
      <c r="L63" s="22">
        <v>0.999694136552438</v>
      </c>
      <c r="M63" s="12">
        <f t="shared" si="3"/>
        <v>10.804028888582318</v>
      </c>
      <c r="N63" s="11">
        <f t="shared" si="5"/>
        <v>10.468471695355616</v>
      </c>
      <c r="O63" s="19">
        <v>335.557193226702</v>
      </c>
      <c r="P63" s="6">
        <f t="shared" si="6"/>
        <v>3.1058524249349091E-2</v>
      </c>
      <c r="Q63" s="7"/>
      <c r="R63" s="18">
        <v>7501.6833799999995</v>
      </c>
      <c r="S63" s="12">
        <f t="shared" si="10"/>
        <v>5.1167710328376899</v>
      </c>
    </row>
    <row r="64" spans="1:19" ht="16">
      <c r="A64" s="3">
        <v>2018</v>
      </c>
      <c r="B64" s="21">
        <v>11.4889214097392</v>
      </c>
      <c r="C64" s="13">
        <f t="shared" si="7"/>
        <v>42.126045169043735</v>
      </c>
      <c r="D64" s="24">
        <v>10230185</v>
      </c>
      <c r="E64" s="13">
        <f t="shared" si="8"/>
        <v>4.117818511497469</v>
      </c>
      <c r="F64" s="13">
        <f t="shared" si="9"/>
        <v>53.046492615976518</v>
      </c>
      <c r="G64" s="10"/>
      <c r="H64" s="2"/>
      <c r="I64" s="2"/>
      <c r="J64" s="3">
        <v>2018</v>
      </c>
      <c r="K64" s="22">
        <v>10.0008134526483</v>
      </c>
      <c r="L64" s="22">
        <v>1.0528216985603001</v>
      </c>
      <c r="M64" s="12">
        <f t="shared" si="3"/>
        <v>11.053635151208599</v>
      </c>
      <c r="N64" s="11">
        <f t="shared" si="5"/>
        <v>10.708986160106404</v>
      </c>
      <c r="O64" s="19">
        <v>344.64899110219602</v>
      </c>
      <c r="P64" s="6">
        <f t="shared" si="6"/>
        <v>3.1179696668793368E-2</v>
      </c>
      <c r="Q64" s="7"/>
      <c r="R64" s="18">
        <v>7572.6276199999993</v>
      </c>
      <c r="S64" s="12">
        <f t="shared" si="10"/>
        <v>5.185291626297718</v>
      </c>
    </row>
    <row r="65" spans="1:19" ht="16">
      <c r="A65" s="3">
        <v>2019</v>
      </c>
      <c r="B65" s="21">
        <v>11.172725593527501</v>
      </c>
      <c r="C65" s="13">
        <f t="shared" si="7"/>
        <v>40.966660509600835</v>
      </c>
      <c r="D65" s="24">
        <v>10327553</v>
      </c>
      <c r="E65" s="13">
        <f t="shared" si="8"/>
        <v>3.9667344732678527</v>
      </c>
      <c r="F65" s="13">
        <f t="shared" si="9"/>
        <v>53.096760510499031</v>
      </c>
      <c r="G65" s="32">
        <f>C65/C36-1</f>
        <v>-0.28654491967939599</v>
      </c>
      <c r="H65" s="32">
        <f>E65/E36-1</f>
        <v>-0.40653622240867815</v>
      </c>
      <c r="I65" s="2">
        <f>S65/S36-1</f>
        <v>2.9274307413066358E-2</v>
      </c>
      <c r="J65" s="3">
        <v>2019</v>
      </c>
      <c r="K65" s="22">
        <v>10.016142967920899</v>
      </c>
      <c r="L65" s="22">
        <v>1.0440531295373501</v>
      </c>
      <c r="M65" s="12">
        <f t="shared" si="3"/>
        <v>11.060196097458249</v>
      </c>
      <c r="N65" s="11">
        <f t="shared" si="5"/>
        <v>10.71754992323253</v>
      </c>
      <c r="O65" s="19">
        <v>342.64617422571899</v>
      </c>
      <c r="P65" s="6">
        <f t="shared" si="6"/>
        <v>3.0980117459622866E-2</v>
      </c>
      <c r="Q65" s="7"/>
      <c r="R65" s="18">
        <v>7643.5718599999991</v>
      </c>
      <c r="S65" s="12">
        <f t="shared" si="10"/>
        <v>5.1412721397313605</v>
      </c>
    </row>
    <row r="66" spans="1:19" ht="16">
      <c r="A66" s="3">
        <v>2020</v>
      </c>
      <c r="B66" s="21">
        <v>10.5418842344054</v>
      </c>
      <c r="C66" s="13">
        <f t="shared" si="7"/>
        <v>38.653575526153134</v>
      </c>
      <c r="D66" s="24">
        <v>10379295</v>
      </c>
      <c r="E66" s="13">
        <f t="shared" si="8"/>
        <v>3.7241041444677245</v>
      </c>
      <c r="F66" s="13">
        <f t="shared" si="9"/>
        <v>49.837721633969778</v>
      </c>
      <c r="G66" s="10"/>
      <c r="H66" s="2"/>
      <c r="I66" s="2"/>
      <c r="J66" s="3">
        <v>2020</v>
      </c>
      <c r="K66" s="22">
        <v>9.4999577782783593</v>
      </c>
      <c r="L66" s="22">
        <v>0.87608978182072705</v>
      </c>
      <c r="M66" s="12">
        <f>L66+K66</f>
        <v>10.376047560099087</v>
      </c>
      <c r="N66" s="11">
        <f t="shared" si="5"/>
        <v>10.102470331539283</v>
      </c>
      <c r="O66" s="19">
        <v>273.57722855980398</v>
      </c>
      <c r="P66" s="6">
        <f t="shared" si="6"/>
        <v>2.6366227311046698E-2</v>
      </c>
      <c r="Q66" s="7"/>
      <c r="R66" s="18">
        <v>7714.5160999999998</v>
      </c>
      <c r="S66" s="12">
        <f t="shared" si="10"/>
        <v>4.801648053549858</v>
      </c>
    </row>
    <row r="67" spans="1:19" ht="16">
      <c r="A67" s="3">
        <v>2021</v>
      </c>
      <c r="B67" s="13">
        <f>B66*1.021</f>
        <v>10.763263803327911</v>
      </c>
      <c r="C67" s="13">
        <f>C66*1.021</f>
        <v>39.465300612202348</v>
      </c>
      <c r="D67" s="24">
        <v>10428301</v>
      </c>
      <c r="E67" s="13">
        <f t="shared" si="8"/>
        <v>3.7844420306052102</v>
      </c>
      <c r="F67" s="13">
        <f t="shared" si="9"/>
        <v>52.852462833214901</v>
      </c>
      <c r="G67" s="2"/>
      <c r="H67" s="2"/>
      <c r="I67" s="2"/>
      <c r="J67" s="3">
        <v>2021</v>
      </c>
      <c r="K67" s="3"/>
      <c r="L67" s="3"/>
      <c r="M67" s="18">
        <v>11.092522614545455</v>
      </c>
      <c r="N67" s="11">
        <f t="shared" si="5"/>
        <v>10.754242137123175</v>
      </c>
      <c r="O67" s="12">
        <f>AVERAGE($O$61:$O$65)/AVERAGE($M$61:$M$65)*M67</f>
        <v>338.28047742228074</v>
      </c>
      <c r="P67" s="6">
        <f t="shared" si="6"/>
        <v>3.0496262137766454E-2</v>
      </c>
      <c r="Q67" s="7"/>
      <c r="R67" s="18">
        <v>7780.3577999999998</v>
      </c>
      <c r="S67" s="12">
        <f t="shared" si="10"/>
        <v>5.0681758067028273</v>
      </c>
    </row>
    <row r="68" spans="1:19" ht="16">
      <c r="A68" s="3">
        <v>2022</v>
      </c>
      <c r="D68" s="24">
        <v>10477130</v>
      </c>
      <c r="E68" s="13"/>
      <c r="F68" s="13">
        <f t="shared" si="9"/>
        <v>49.791478637643813</v>
      </c>
      <c r="G68" s="2"/>
      <c r="H68" s="2"/>
      <c r="I68" s="2"/>
      <c r="J68" s="3">
        <v>2022</v>
      </c>
      <c r="K68" s="3"/>
      <c r="L68" s="3"/>
      <c r="M68" s="18">
        <v>10.489411401818181</v>
      </c>
      <c r="N68" s="11">
        <f t="shared" si="5"/>
        <v>10.169523562037458</v>
      </c>
      <c r="O68" s="12">
        <f t="shared" ref="O68:O96" si="11">AVERAGE($O$61:$O$65)/AVERAGE($M$61:$M$65)*M68</f>
        <v>319.8878397807236</v>
      </c>
      <c r="P68" s="6">
        <f t="shared" si="6"/>
        <v>3.0496262137766461E-2</v>
      </c>
      <c r="Q68" s="7"/>
      <c r="R68" s="18">
        <v>7846.1994999999997</v>
      </c>
      <c r="S68" s="12">
        <f t="shared" si="10"/>
        <v>4.7523967572840862</v>
      </c>
    </row>
    <row r="69" spans="1:19" ht="16">
      <c r="A69" s="3">
        <v>2023</v>
      </c>
      <c r="D69" s="24">
        <v>10523969</v>
      </c>
      <c r="E69" s="13"/>
      <c r="F69" s="13">
        <f t="shared" ref="F69:F96" si="12">D69*S69/1000000</f>
        <v>46.746137439686265</v>
      </c>
      <c r="G69" s="2"/>
      <c r="H69" s="2"/>
      <c r="I69" s="2"/>
      <c r="J69" s="3">
        <v>2023</v>
      </c>
      <c r="K69" s="3"/>
      <c r="L69" s="3"/>
      <c r="M69" s="18">
        <v>9.8863001890909086</v>
      </c>
      <c r="N69" s="11">
        <f t="shared" si="5"/>
        <v>9.5848049869517418</v>
      </c>
      <c r="O69" s="12">
        <f t="shared" si="11"/>
        <v>301.49520213916645</v>
      </c>
      <c r="P69" s="6">
        <f t="shared" si="6"/>
        <v>3.0496262137766461E-2</v>
      </c>
      <c r="Q69" s="7"/>
      <c r="R69" s="18">
        <v>7912.0411999999997</v>
      </c>
      <c r="S69" s="12">
        <f t="shared" ref="S69:S96" si="13">N69*1000000000*44/12*1/(R69*1000000)</f>
        <v>4.4418733502242613</v>
      </c>
    </row>
    <row r="70" spans="1:19" ht="16">
      <c r="A70" s="3">
        <v>2024</v>
      </c>
      <c r="D70" s="24">
        <v>10569942</v>
      </c>
      <c r="E70" s="13"/>
      <c r="F70" s="13">
        <f t="shared" si="12"/>
        <v>43.722305703122167</v>
      </c>
      <c r="G70" s="2"/>
      <c r="H70" s="2"/>
      <c r="I70" s="2"/>
      <c r="J70" s="3">
        <v>2024</v>
      </c>
      <c r="K70" s="3"/>
      <c r="L70" s="3"/>
      <c r="M70" s="18">
        <v>9.2831889763636362</v>
      </c>
      <c r="N70" s="11">
        <f t="shared" ref="N70:N96" si="14">M70-O70/1000</f>
        <v>9.0000864118660271</v>
      </c>
      <c r="O70" s="12">
        <f t="shared" si="11"/>
        <v>283.10256449760931</v>
      </c>
      <c r="P70" s="6">
        <f t="shared" ref="P70:P96" si="15">O70/1000/M70</f>
        <v>3.0496262137766454E-2</v>
      </c>
      <c r="Q70" s="7"/>
      <c r="R70" s="18">
        <v>7977.8828999999996</v>
      </c>
      <c r="S70" s="12">
        <f t="shared" si="13"/>
        <v>4.1364754606148422</v>
      </c>
    </row>
    <row r="71" spans="1:19" ht="16">
      <c r="A71" s="3">
        <v>2025</v>
      </c>
      <c r="D71" s="24">
        <v>10616595</v>
      </c>
      <c r="E71" s="13"/>
      <c r="F71" s="13">
        <f t="shared" si="12"/>
        <v>40.726078276820061</v>
      </c>
      <c r="G71" s="2"/>
      <c r="H71" s="2"/>
      <c r="I71" s="2"/>
      <c r="J71" s="3">
        <v>2025</v>
      </c>
      <c r="K71" s="3"/>
      <c r="L71" s="3"/>
      <c r="M71" s="18">
        <v>8.6800777636363637</v>
      </c>
      <c r="N71" s="11">
        <f t="shared" si="14"/>
        <v>8.4153678367803124</v>
      </c>
      <c r="O71" s="12">
        <f t="shared" si="11"/>
        <v>264.70992685605216</v>
      </c>
      <c r="P71" s="6">
        <f t="shared" si="15"/>
        <v>3.0496262137766454E-2</v>
      </c>
      <c r="Q71" s="7"/>
      <c r="R71" s="18">
        <v>8043.7245999999996</v>
      </c>
      <c r="S71" s="12">
        <f t="shared" si="13"/>
        <v>3.8360772240836223</v>
      </c>
    </row>
    <row r="72" spans="1:19" ht="16">
      <c r="A72" s="3">
        <v>2026</v>
      </c>
      <c r="D72" s="24">
        <v>10663635</v>
      </c>
      <c r="E72" s="13"/>
      <c r="F72" s="13">
        <f t="shared" si="12"/>
        <v>37.631702803666862</v>
      </c>
      <c r="G72" s="2"/>
      <c r="H72" s="2"/>
      <c r="I72" s="2"/>
      <c r="J72" s="3">
        <v>2026</v>
      </c>
      <c r="K72" s="3"/>
      <c r="L72" s="3"/>
      <c r="M72" s="18">
        <v>8.0442745418181811</v>
      </c>
      <c r="N72" s="11">
        <f t="shared" si="14"/>
        <v>7.7989542366827331</v>
      </c>
      <c r="O72" s="12">
        <f t="shared" si="11"/>
        <v>245.32030513544842</v>
      </c>
      <c r="P72" s="6">
        <f t="shared" si="15"/>
        <v>3.0496262137766458E-2</v>
      </c>
      <c r="Q72" s="7"/>
      <c r="R72" s="18">
        <v>8103.2493599999998</v>
      </c>
      <c r="S72" s="12">
        <f t="shared" si="13"/>
        <v>3.5289751387464841</v>
      </c>
    </row>
    <row r="73" spans="1:19" ht="16">
      <c r="A73" s="3">
        <v>2027</v>
      </c>
      <c r="D73" s="24">
        <v>10710874</v>
      </c>
      <c r="E73" s="13"/>
      <c r="F73" s="13">
        <f t="shared" si="12"/>
        <v>34.557049392818314</v>
      </c>
      <c r="G73" s="2"/>
      <c r="H73" s="2"/>
      <c r="I73" s="2"/>
      <c r="J73" s="3">
        <v>2027</v>
      </c>
      <c r="K73" s="3"/>
      <c r="L73" s="3"/>
      <c r="M73" s="18">
        <v>7.4084713199999994</v>
      </c>
      <c r="N73" s="11">
        <f t="shared" si="14"/>
        <v>7.1825406365851547</v>
      </c>
      <c r="O73" s="12">
        <f t="shared" si="11"/>
        <v>225.93068341484468</v>
      </c>
      <c r="P73" s="6">
        <f t="shared" si="15"/>
        <v>3.0496262137766458E-2</v>
      </c>
      <c r="Q73" s="7"/>
      <c r="R73" s="18">
        <v>8162.77412</v>
      </c>
      <c r="S73" s="12">
        <f t="shared" si="13"/>
        <v>3.2263519664985618</v>
      </c>
    </row>
    <row r="74" spans="1:19" ht="16">
      <c r="A74" s="3">
        <v>2028</v>
      </c>
      <c r="D74" s="24">
        <v>10758403</v>
      </c>
      <c r="E74" s="13"/>
      <c r="F74" s="13">
        <f t="shared" si="12"/>
        <v>31.501792066738862</v>
      </c>
      <c r="G74" s="2"/>
      <c r="H74" s="2"/>
      <c r="I74" s="2"/>
      <c r="J74" s="3">
        <v>2028</v>
      </c>
      <c r="K74" s="3"/>
      <c r="L74" s="3"/>
      <c r="M74" s="18">
        <v>6.7726680981818168</v>
      </c>
      <c r="N74" s="11">
        <f t="shared" si="14"/>
        <v>6.5661270364875755</v>
      </c>
      <c r="O74" s="12">
        <f t="shared" si="11"/>
        <v>206.54106169424091</v>
      </c>
      <c r="P74" s="6">
        <f t="shared" si="15"/>
        <v>3.0496262137766458E-2</v>
      </c>
      <c r="Q74" s="7"/>
      <c r="R74" s="18">
        <v>8222.2988800000003</v>
      </c>
      <c r="S74" s="12">
        <f t="shared" si="13"/>
        <v>2.9281104330018928</v>
      </c>
    </row>
    <row r="75" spans="1:19" ht="16">
      <c r="A75" s="3">
        <v>2029</v>
      </c>
      <c r="D75" s="24">
        <v>10805992</v>
      </c>
      <c r="E75" s="13"/>
      <c r="F75" s="13">
        <f t="shared" si="12"/>
        <v>28.464669316686514</v>
      </c>
      <c r="G75" s="2"/>
      <c r="H75" s="2"/>
      <c r="I75" s="2"/>
      <c r="J75" s="3">
        <v>2029</v>
      </c>
      <c r="K75" s="3"/>
      <c r="L75" s="3"/>
      <c r="M75" s="18">
        <v>6.136864876363636</v>
      </c>
      <c r="N75" s="11">
        <f t="shared" si="14"/>
        <v>5.9497134363899988</v>
      </c>
      <c r="O75" s="12">
        <f t="shared" si="11"/>
        <v>187.1514399736372</v>
      </c>
      <c r="P75" s="6">
        <f t="shared" si="15"/>
        <v>3.0496262137766461E-2</v>
      </c>
      <c r="Q75" s="7"/>
      <c r="R75" s="18">
        <v>8281.8236400000005</v>
      </c>
      <c r="S75" s="12">
        <f t="shared" si="13"/>
        <v>2.6341560605159171</v>
      </c>
    </row>
    <row r="76" spans="1:19" ht="16">
      <c r="A76" s="3">
        <v>2030</v>
      </c>
      <c r="D76" s="24">
        <v>10853866</v>
      </c>
      <c r="E76" s="13"/>
      <c r="F76" s="13">
        <f t="shared" si="12"/>
        <v>25.445771628095464</v>
      </c>
      <c r="G76" s="2"/>
      <c r="H76" s="2"/>
      <c r="I76" s="2"/>
      <c r="J76" s="3">
        <v>2030</v>
      </c>
      <c r="K76" s="3"/>
      <c r="L76" s="3"/>
      <c r="M76" s="18">
        <v>5.5010616545454543</v>
      </c>
      <c r="N76" s="11">
        <f t="shared" si="14"/>
        <v>5.3332998362924204</v>
      </c>
      <c r="O76" s="12">
        <f t="shared" si="11"/>
        <v>167.76181825303345</v>
      </c>
      <c r="P76" s="6">
        <f t="shared" si="15"/>
        <v>3.0496262137766461E-2</v>
      </c>
      <c r="Q76" s="7"/>
      <c r="R76" s="18">
        <v>8341.3484000000008</v>
      </c>
      <c r="S76" s="12">
        <f t="shared" si="13"/>
        <v>2.3443970681133766</v>
      </c>
    </row>
    <row r="77" spans="1:19" ht="16">
      <c r="A77" s="3">
        <v>2031</v>
      </c>
      <c r="D77" s="24">
        <v>10900734</v>
      </c>
      <c r="E77" s="13"/>
      <c r="F77" s="13">
        <f t="shared" si="12"/>
        <v>23.718996380830205</v>
      </c>
      <c r="G77" s="2"/>
      <c r="H77" s="2"/>
      <c r="I77" s="2"/>
      <c r="J77" s="3">
        <v>2031</v>
      </c>
      <c r="K77" s="3"/>
      <c r="L77" s="3"/>
      <c r="M77" s="18">
        <v>5.1383004872727271</v>
      </c>
      <c r="N77" s="11">
        <f t="shared" si="14"/>
        <v>4.9816015286702449</v>
      </c>
      <c r="O77" s="12">
        <f t="shared" si="11"/>
        <v>156.69895860248221</v>
      </c>
      <c r="P77" s="6">
        <f t="shared" si="15"/>
        <v>3.0496262137766458E-2</v>
      </c>
      <c r="Q77" s="7"/>
      <c r="R77" s="18">
        <v>8394.5969600000008</v>
      </c>
      <c r="S77" s="12">
        <f t="shared" si="13"/>
        <v>2.1759081893779086</v>
      </c>
    </row>
    <row r="78" spans="1:19" ht="16">
      <c r="A78" s="3">
        <v>2032</v>
      </c>
      <c r="D78" s="24">
        <v>10946282</v>
      </c>
      <c r="E78" s="13"/>
      <c r="F78" s="13">
        <f t="shared" si="12"/>
        <v>21.997028231378984</v>
      </c>
      <c r="G78" s="2"/>
      <c r="H78" s="2"/>
      <c r="I78" s="2"/>
      <c r="J78" s="3">
        <v>2032</v>
      </c>
      <c r="K78" s="3"/>
      <c r="L78" s="3"/>
      <c r="M78" s="18">
        <v>4.77553932</v>
      </c>
      <c r="N78" s="11">
        <f t="shared" si="14"/>
        <v>4.6299032210480693</v>
      </c>
      <c r="O78" s="12">
        <f t="shared" si="11"/>
        <v>145.63609895193099</v>
      </c>
      <c r="P78" s="6">
        <f t="shared" si="15"/>
        <v>3.0496262137766461E-2</v>
      </c>
      <c r="Q78" s="7"/>
      <c r="R78" s="18">
        <v>8447.8455200000008</v>
      </c>
      <c r="S78" s="12">
        <f t="shared" si="13"/>
        <v>2.0095433528369711</v>
      </c>
    </row>
    <row r="79" spans="1:19" ht="16">
      <c r="A79" s="3">
        <v>2033</v>
      </c>
      <c r="D79" s="24">
        <v>10991015</v>
      </c>
      <c r="E79" s="13"/>
      <c r="F79" s="13">
        <f t="shared" si="12"/>
        <v>20.281309412427792</v>
      </c>
      <c r="G79" s="2"/>
      <c r="H79" s="2"/>
      <c r="I79" s="2"/>
      <c r="J79" s="3">
        <v>2033</v>
      </c>
      <c r="K79" s="3"/>
      <c r="L79" s="3"/>
      <c r="M79" s="18">
        <v>4.412778152727272</v>
      </c>
      <c r="N79" s="11">
        <f t="shared" si="14"/>
        <v>4.2782049134258919</v>
      </c>
      <c r="O79" s="12">
        <f t="shared" si="11"/>
        <v>134.57323930137972</v>
      </c>
      <c r="P79" s="6">
        <f t="shared" si="15"/>
        <v>3.0496262137766458E-2</v>
      </c>
      <c r="Q79" s="7"/>
      <c r="R79" s="18">
        <v>8501.0940800000008</v>
      </c>
      <c r="S79" s="12">
        <f t="shared" si="13"/>
        <v>1.8452626452086354</v>
      </c>
    </row>
    <row r="80" spans="1:19" ht="16">
      <c r="A80" s="3">
        <v>2034</v>
      </c>
      <c r="D80" s="24">
        <v>11035492</v>
      </c>
      <c r="E80" s="13"/>
      <c r="F80" s="13">
        <f t="shared" si="12"/>
        <v>18.573032616613958</v>
      </c>
      <c r="G80" s="2"/>
      <c r="H80" s="2"/>
      <c r="I80" s="2"/>
      <c r="J80" s="3">
        <v>2034</v>
      </c>
      <c r="K80" s="3"/>
      <c r="L80" s="3"/>
      <c r="M80" s="18">
        <v>4.0500169854545449</v>
      </c>
      <c r="N80" s="11">
        <f t="shared" si="14"/>
        <v>3.9265066058037164</v>
      </c>
      <c r="O80" s="12">
        <f t="shared" si="11"/>
        <v>123.51037965082848</v>
      </c>
      <c r="P80" s="6">
        <f t="shared" si="15"/>
        <v>3.0496262137766458E-2</v>
      </c>
      <c r="Q80" s="7"/>
      <c r="R80" s="18">
        <v>8554.3426400000008</v>
      </c>
      <c r="S80" s="12">
        <f t="shared" si="13"/>
        <v>1.6830271470102065</v>
      </c>
    </row>
    <row r="81" spans="1:19" ht="16">
      <c r="A81" s="3">
        <v>2035</v>
      </c>
      <c r="D81" s="24">
        <v>11079751</v>
      </c>
      <c r="E81" s="13"/>
      <c r="F81" s="13">
        <f t="shared" si="12"/>
        <v>16.872232655226373</v>
      </c>
      <c r="G81" s="2"/>
      <c r="H81" s="2"/>
      <c r="I81" s="2"/>
      <c r="J81" s="3">
        <v>2035</v>
      </c>
      <c r="K81" s="3"/>
      <c r="L81" s="3"/>
      <c r="M81" s="18">
        <v>3.6872558181818182</v>
      </c>
      <c r="N81" s="11">
        <f t="shared" si="14"/>
        <v>3.5748082981815408</v>
      </c>
      <c r="O81" s="12">
        <f t="shared" si="11"/>
        <v>112.44752000027727</v>
      </c>
      <c r="P81" s="6">
        <f t="shared" si="15"/>
        <v>3.0496262137766458E-2</v>
      </c>
      <c r="Q81" s="7"/>
      <c r="R81" s="18">
        <v>8607.5912000000008</v>
      </c>
      <c r="S81" s="12">
        <f t="shared" si="13"/>
        <v>1.5227989018188561</v>
      </c>
    </row>
    <row r="82" spans="1:19" ht="16">
      <c r="A82" s="3">
        <v>2036</v>
      </c>
      <c r="D82" s="24">
        <v>11123845</v>
      </c>
      <c r="E82" s="13"/>
      <c r="F82" s="13">
        <f t="shared" si="12"/>
        <v>15.589283223339294</v>
      </c>
      <c r="G82" s="2"/>
      <c r="H82" s="2"/>
      <c r="I82" s="2"/>
      <c r="J82" s="3">
        <v>2036</v>
      </c>
      <c r="K82" s="3"/>
      <c r="L82" s="3"/>
      <c r="M82" s="18">
        <v>3.4117464327272726</v>
      </c>
      <c r="N82" s="11">
        <f t="shared" si="14"/>
        <v>3.3077009191672322</v>
      </c>
      <c r="O82" s="12">
        <f t="shared" si="11"/>
        <v>104.0455135600405</v>
      </c>
      <c r="P82" s="6">
        <f t="shared" si="15"/>
        <v>3.0496262137766458E-2</v>
      </c>
      <c r="Q82" s="7"/>
      <c r="R82" s="18">
        <v>8654.1904000000013</v>
      </c>
      <c r="S82" s="12">
        <f t="shared" si="13"/>
        <v>1.4014293819573442</v>
      </c>
    </row>
    <row r="83" spans="1:19" ht="16">
      <c r="A83" s="3">
        <v>2037</v>
      </c>
      <c r="D83" s="24">
        <v>11168066</v>
      </c>
      <c r="E83" s="13"/>
      <c r="F83" s="13">
        <f t="shared" si="12"/>
        <v>14.310312046913399</v>
      </c>
      <c r="G83" s="2"/>
      <c r="H83" s="2"/>
      <c r="I83" s="2"/>
      <c r="J83" s="3">
        <v>2037</v>
      </c>
      <c r="K83" s="3"/>
      <c r="L83" s="3"/>
      <c r="M83" s="18">
        <v>3.136237047272727</v>
      </c>
      <c r="N83" s="11">
        <f t="shared" si="14"/>
        <v>3.0405935401529232</v>
      </c>
      <c r="O83" s="12">
        <f t="shared" si="11"/>
        <v>95.643507119803743</v>
      </c>
      <c r="P83" s="6">
        <f t="shared" si="15"/>
        <v>3.0496262137766458E-2</v>
      </c>
      <c r="Q83" s="7"/>
      <c r="R83" s="18">
        <v>8700.7896000000019</v>
      </c>
      <c r="S83" s="12">
        <f t="shared" si="13"/>
        <v>1.2813599102040942</v>
      </c>
    </row>
    <row r="84" spans="1:19" ht="16">
      <c r="A84" s="3">
        <v>2038</v>
      </c>
      <c r="D84" s="24">
        <v>11212635</v>
      </c>
      <c r="E84" s="13"/>
      <c r="F84" s="13">
        <f t="shared" si="12"/>
        <v>13.035469816485239</v>
      </c>
      <c r="G84" s="2"/>
      <c r="H84" s="2"/>
      <c r="I84" s="2"/>
      <c r="J84" s="3">
        <v>2038</v>
      </c>
      <c r="K84" s="3"/>
      <c r="L84" s="3"/>
      <c r="M84" s="18">
        <v>2.8607276618181814</v>
      </c>
      <c r="N84" s="11">
        <f t="shared" si="14"/>
        <v>2.7734861611386146</v>
      </c>
      <c r="O84" s="12">
        <f t="shared" si="11"/>
        <v>87.241500679566968</v>
      </c>
      <c r="P84" s="6">
        <f t="shared" si="15"/>
        <v>3.0496262137766458E-2</v>
      </c>
      <c r="Q84" s="7"/>
      <c r="R84" s="18">
        <v>8747.3888000000024</v>
      </c>
      <c r="S84" s="12">
        <f t="shared" si="13"/>
        <v>1.1625697096610421</v>
      </c>
    </row>
    <row r="85" spans="1:19" ht="16">
      <c r="A85" s="3">
        <v>2039</v>
      </c>
      <c r="D85" s="24">
        <v>11257650</v>
      </c>
      <c r="E85" s="13"/>
      <c r="F85" s="13">
        <f t="shared" si="12"/>
        <v>11.764677037024176</v>
      </c>
      <c r="G85" s="2"/>
      <c r="H85" s="2"/>
      <c r="I85" s="2"/>
      <c r="J85" s="3">
        <v>2039</v>
      </c>
      <c r="K85" s="3"/>
      <c r="L85" s="3"/>
      <c r="M85" s="18">
        <v>2.5852182763636358</v>
      </c>
      <c r="N85" s="11">
        <f t="shared" si="14"/>
        <v>2.5063787821243055</v>
      </c>
      <c r="O85" s="12">
        <f t="shared" si="11"/>
        <v>78.839494239330207</v>
      </c>
      <c r="P85" s="6">
        <f t="shared" si="15"/>
        <v>3.0496262137766458E-2</v>
      </c>
      <c r="Q85" s="7"/>
      <c r="R85" s="18">
        <v>8793.988000000003</v>
      </c>
      <c r="S85" s="12">
        <f t="shared" si="13"/>
        <v>1.0450384438159097</v>
      </c>
    </row>
    <row r="86" spans="1:19" ht="16">
      <c r="A86" s="3">
        <v>2040</v>
      </c>
      <c r="D86" s="24">
        <v>11303262</v>
      </c>
      <c r="E86" s="13"/>
      <c r="F86" s="13">
        <f t="shared" si="12"/>
        <v>10.49786168589416</v>
      </c>
      <c r="G86" s="2"/>
      <c r="H86" s="2"/>
      <c r="I86" s="2"/>
      <c r="J86" s="3">
        <v>2040</v>
      </c>
      <c r="K86" s="3"/>
      <c r="L86" s="3"/>
      <c r="M86" s="18">
        <v>2.3097088909090906</v>
      </c>
      <c r="N86" s="11">
        <f t="shared" si="14"/>
        <v>2.2392714031099969</v>
      </c>
      <c r="O86" s="12">
        <f t="shared" si="11"/>
        <v>70.437487799093461</v>
      </c>
      <c r="P86" s="6">
        <f t="shared" si="15"/>
        <v>3.0496262137766461E-2</v>
      </c>
      <c r="Q86" s="7"/>
      <c r="R86" s="18">
        <v>8840.5871999999999</v>
      </c>
      <c r="S86" s="12">
        <f t="shared" si="13"/>
        <v>0.92874620493572202</v>
      </c>
    </row>
    <row r="87" spans="1:19" ht="16">
      <c r="A87" s="3">
        <v>2041</v>
      </c>
      <c r="D87" s="24">
        <v>11349389</v>
      </c>
      <c r="E87" s="13"/>
      <c r="F87" s="13">
        <f t="shared" si="12"/>
        <v>9.5311140143454747</v>
      </c>
      <c r="G87" s="2"/>
      <c r="H87" s="2"/>
      <c r="I87" s="2"/>
      <c r="J87" s="3">
        <v>2041</v>
      </c>
      <c r="K87" s="3"/>
      <c r="L87" s="3"/>
      <c r="M87" s="18">
        <v>2.0977872927272725</v>
      </c>
      <c r="N87" s="11">
        <f t="shared" si="14"/>
        <v>2.0338126215389862</v>
      </c>
      <c r="O87" s="12">
        <f t="shared" si="11"/>
        <v>63.974671188286322</v>
      </c>
      <c r="P87" s="6">
        <f t="shared" si="15"/>
        <v>3.0496262137766461E-2</v>
      </c>
      <c r="Q87" s="7"/>
      <c r="R87" s="18">
        <v>8879.9635999999991</v>
      </c>
      <c r="S87" s="12">
        <f t="shared" si="13"/>
        <v>0.8397909362649808</v>
      </c>
    </row>
    <row r="88" spans="1:19" ht="16">
      <c r="A88" s="3">
        <v>2042</v>
      </c>
      <c r="D88" s="24">
        <v>11396046</v>
      </c>
      <c r="E88" s="13"/>
      <c r="F88" s="13">
        <f t="shared" si="12"/>
        <v>8.5655085507099784</v>
      </c>
      <c r="G88" s="2"/>
      <c r="H88" s="2"/>
      <c r="I88" s="2"/>
      <c r="J88" s="3">
        <v>2042</v>
      </c>
      <c r="K88" s="3"/>
      <c r="L88" s="3"/>
      <c r="M88" s="18">
        <v>1.8858656945454546</v>
      </c>
      <c r="N88" s="11">
        <f t="shared" si="14"/>
        <v>1.8283538399679755</v>
      </c>
      <c r="O88" s="12">
        <f t="shared" si="11"/>
        <v>57.511854577479191</v>
      </c>
      <c r="P88" s="6">
        <f t="shared" si="15"/>
        <v>3.0496262137766458E-2</v>
      </c>
      <c r="Q88" s="7"/>
      <c r="R88" s="18">
        <v>8919.3399999999983</v>
      </c>
      <c r="S88" s="12">
        <f t="shared" si="13"/>
        <v>0.75162109302735158</v>
      </c>
    </row>
    <row r="89" spans="1:19" ht="16">
      <c r="A89" s="3">
        <v>2043</v>
      </c>
      <c r="D89" s="24">
        <v>11443210</v>
      </c>
      <c r="E89" s="13"/>
      <c r="F89" s="13">
        <f t="shared" si="12"/>
        <v>7.6008812517377295</v>
      </c>
      <c r="G89" s="2"/>
      <c r="H89" s="2"/>
      <c r="I89" s="2"/>
      <c r="J89" s="3">
        <v>2043</v>
      </c>
      <c r="K89" s="3"/>
      <c r="L89" s="3"/>
      <c r="M89" s="18">
        <v>1.6739440963636363</v>
      </c>
      <c r="N89" s="11">
        <f t="shared" si="14"/>
        <v>1.6228950583969641</v>
      </c>
      <c r="O89" s="12">
        <f t="shared" si="11"/>
        <v>51.049037966672046</v>
      </c>
      <c r="P89" s="6">
        <f t="shared" si="15"/>
        <v>3.0496262137766458E-2</v>
      </c>
      <c r="Q89" s="7"/>
      <c r="R89" s="18">
        <v>8958.7163999999975</v>
      </c>
      <c r="S89" s="12">
        <f t="shared" si="13"/>
        <v>0.66422631864116188</v>
      </c>
    </row>
    <row r="90" spans="1:19" ht="16">
      <c r="A90" s="3">
        <v>2044</v>
      </c>
      <c r="D90" s="24">
        <v>11490789</v>
      </c>
      <c r="E90" s="13"/>
      <c r="F90" s="13">
        <f t="shared" si="12"/>
        <v>6.6370387940238054</v>
      </c>
      <c r="G90" s="2"/>
      <c r="H90" s="2"/>
      <c r="I90" s="2"/>
      <c r="J90" s="3">
        <v>2044</v>
      </c>
      <c r="K90" s="3"/>
      <c r="L90" s="3"/>
      <c r="M90" s="18">
        <v>1.462022498181818</v>
      </c>
      <c r="N90" s="11">
        <f t="shared" si="14"/>
        <v>1.417436276825953</v>
      </c>
      <c r="O90" s="12">
        <f t="shared" si="11"/>
        <v>44.586221355864907</v>
      </c>
      <c r="P90" s="6">
        <f t="shared" si="15"/>
        <v>3.0496262137766461E-2</v>
      </c>
      <c r="Q90" s="7"/>
      <c r="R90" s="18">
        <v>8998.0927999999967</v>
      </c>
      <c r="S90" s="12">
        <f t="shared" si="13"/>
        <v>0.57759643780978009</v>
      </c>
    </row>
    <row r="91" spans="1:19" ht="16">
      <c r="A91" s="3">
        <v>2045</v>
      </c>
      <c r="D91" s="24">
        <v>11538636</v>
      </c>
      <c r="E91" s="13"/>
      <c r="F91" s="13">
        <f t="shared" si="12"/>
        <v>5.6737948546230745</v>
      </c>
      <c r="G91" s="2"/>
      <c r="H91" s="2"/>
      <c r="I91" s="2"/>
      <c r="J91" s="3">
        <v>2045</v>
      </c>
      <c r="K91" s="3"/>
      <c r="L91" s="3"/>
      <c r="M91" s="18">
        <v>1.2501008999999998</v>
      </c>
      <c r="N91" s="11">
        <f t="shared" si="14"/>
        <v>1.211977495254942</v>
      </c>
      <c r="O91" s="12">
        <f t="shared" si="11"/>
        <v>38.123404745057769</v>
      </c>
      <c r="P91" s="6">
        <f t="shared" si="15"/>
        <v>3.0496262137766461E-2</v>
      </c>
      <c r="Q91" s="7"/>
      <c r="R91" s="18">
        <v>9037.4691999999995</v>
      </c>
      <c r="S91" s="12">
        <f t="shared" si="13"/>
        <v>0.49172145257230354</v>
      </c>
    </row>
    <row r="92" spans="1:19" ht="16">
      <c r="A92" s="3">
        <v>2046</v>
      </c>
      <c r="D92" s="24">
        <v>11586564</v>
      </c>
      <c r="E92" s="13"/>
      <c r="F92" s="13">
        <f t="shared" si="12"/>
        <v>5.1178985721576993</v>
      </c>
      <c r="G92" s="2"/>
      <c r="H92" s="2"/>
      <c r="I92" s="2"/>
      <c r="J92" s="3">
        <v>2046</v>
      </c>
      <c r="K92" s="3"/>
      <c r="L92" s="3"/>
      <c r="M92" s="18">
        <v>1.1268471054545453</v>
      </c>
      <c r="N92" s="11">
        <f t="shared" si="14"/>
        <v>1.09248248073742</v>
      </c>
      <c r="O92" s="12">
        <f t="shared" si="11"/>
        <v>34.364624717125174</v>
      </c>
      <c r="P92" s="6">
        <f t="shared" si="15"/>
        <v>3.0496262137766458E-2</v>
      </c>
      <c r="Q92" s="7"/>
      <c r="R92" s="18">
        <v>9068.7807400000002</v>
      </c>
      <c r="S92" s="12">
        <f t="shared" si="13"/>
        <v>0.44170977454210752</v>
      </c>
    </row>
    <row r="93" spans="1:19" ht="16">
      <c r="A93" s="3">
        <v>2047</v>
      </c>
      <c r="D93" s="24">
        <v>11634411</v>
      </c>
      <c r="E93" s="13"/>
      <c r="F93" s="13">
        <f t="shared" si="12"/>
        <v>4.5611807385012595</v>
      </c>
      <c r="G93" s="2"/>
      <c r="H93" s="2"/>
      <c r="I93" s="2"/>
      <c r="J93" s="3">
        <v>2047</v>
      </c>
      <c r="K93" s="3"/>
      <c r="L93" s="3"/>
      <c r="M93" s="18">
        <v>1.0035933109090907</v>
      </c>
      <c r="N93" s="11">
        <f t="shared" si="14"/>
        <v>0.97298746621989807</v>
      </c>
      <c r="O93" s="12">
        <f t="shared" si="11"/>
        <v>30.605844689192583</v>
      </c>
      <c r="P93" s="6">
        <f t="shared" si="15"/>
        <v>3.0496262137766458E-2</v>
      </c>
      <c r="Q93" s="7"/>
      <c r="R93" s="18">
        <v>9100.0922800000008</v>
      </c>
      <c r="S93" s="12">
        <f t="shared" si="13"/>
        <v>0.39204225624324762</v>
      </c>
    </row>
    <row r="94" spans="1:19" ht="16">
      <c r="A94" s="3">
        <v>2048</v>
      </c>
      <c r="D94" s="24">
        <v>11682024</v>
      </c>
      <c r="E94" s="13"/>
      <c r="F94" s="13">
        <f t="shared" si="12"/>
        <v>4.0036090292582553</v>
      </c>
      <c r="G94" s="2"/>
      <c r="H94" s="2"/>
      <c r="I94" s="2"/>
      <c r="J94" s="3">
        <v>2048</v>
      </c>
      <c r="K94" s="3"/>
      <c r="L94" s="3"/>
      <c r="M94" s="18">
        <v>0.88033951636363605</v>
      </c>
      <c r="N94" s="11">
        <f t="shared" si="14"/>
        <v>0.85349245170237609</v>
      </c>
      <c r="O94" s="12">
        <f t="shared" si="11"/>
        <v>26.847064661259989</v>
      </c>
      <c r="P94" s="6">
        <f t="shared" si="15"/>
        <v>3.0496262137766458E-2</v>
      </c>
      <c r="Q94" s="7"/>
      <c r="R94" s="18">
        <v>9131.4038200000014</v>
      </c>
      <c r="S94" s="12">
        <f t="shared" si="13"/>
        <v>0.34271535730950858</v>
      </c>
    </row>
    <row r="95" spans="1:19" ht="16">
      <c r="A95" s="3">
        <v>2049</v>
      </c>
      <c r="D95" s="24">
        <v>11729092</v>
      </c>
      <c r="E95" s="13"/>
      <c r="F95" s="13">
        <f t="shared" si="12"/>
        <v>3.4451344182306212</v>
      </c>
      <c r="G95" s="2"/>
      <c r="H95" s="2"/>
      <c r="I95" s="2"/>
      <c r="J95" s="3">
        <v>2049</v>
      </c>
      <c r="K95" s="3"/>
      <c r="L95" s="3"/>
      <c r="M95" s="18">
        <v>0.75708572181818157</v>
      </c>
      <c r="N95" s="11">
        <f t="shared" si="14"/>
        <v>0.73399743718485422</v>
      </c>
      <c r="O95" s="12">
        <f t="shared" si="11"/>
        <v>23.088284633327401</v>
      </c>
      <c r="P95" s="6">
        <f t="shared" si="15"/>
        <v>3.0496262137766461E-2</v>
      </c>
      <c r="Q95" s="7"/>
      <c r="R95" s="18">
        <v>9162.715360000002</v>
      </c>
      <c r="S95" s="12">
        <f t="shared" si="13"/>
        <v>0.29372558576832897</v>
      </c>
    </row>
    <row r="96" spans="1:19" ht="16">
      <c r="A96" s="3">
        <v>2050</v>
      </c>
      <c r="D96" s="24">
        <v>11775563</v>
      </c>
      <c r="E96" s="13"/>
      <c r="F96" s="13">
        <f t="shared" si="12"/>
        <v>2.8858313038540926</v>
      </c>
      <c r="G96" s="2"/>
      <c r="H96" s="2"/>
      <c r="I96" s="2"/>
      <c r="J96" s="3">
        <v>2050</v>
      </c>
      <c r="K96" s="3"/>
      <c r="L96" s="3"/>
      <c r="M96" s="18">
        <v>0.6338319272727273</v>
      </c>
      <c r="N96" s="11">
        <f t="shared" si="14"/>
        <v>0.61450242266733246</v>
      </c>
      <c r="O96" s="12">
        <f t="shared" si="11"/>
        <v>19.329504605394817</v>
      </c>
      <c r="P96" s="6">
        <f t="shared" si="15"/>
        <v>3.0496262137766461E-2</v>
      </c>
      <c r="Q96" s="7"/>
      <c r="R96" s="18">
        <v>9194.0269000000008</v>
      </c>
      <c r="S96" s="12">
        <f t="shared" si="13"/>
        <v>0.2450694972167439</v>
      </c>
    </row>
    <row r="97" spans="1:21" ht="16">
      <c r="A97" s="3"/>
      <c r="E97" t="s">
        <v>35</v>
      </c>
      <c r="G97" s="2"/>
      <c r="H97" s="2"/>
      <c r="I97" s="2"/>
      <c r="J97" s="3"/>
      <c r="K97" s="3"/>
      <c r="L97" s="3"/>
      <c r="R97" s="12"/>
      <c r="S97" s="12"/>
    </row>
    <row r="98" spans="1:21" ht="16">
      <c r="A98" s="3"/>
      <c r="C98" t="s">
        <v>34</v>
      </c>
      <c r="E98" t="s">
        <v>36</v>
      </c>
      <c r="G98" s="2"/>
      <c r="H98" s="2"/>
      <c r="I98" s="2"/>
      <c r="J98" s="3"/>
      <c r="K98" s="3"/>
      <c r="L98" s="3"/>
      <c r="R98" s="12"/>
      <c r="S98" s="12"/>
    </row>
    <row r="99" spans="1:21" ht="16">
      <c r="A99" s="3"/>
      <c r="C99" t="s">
        <v>12</v>
      </c>
      <c r="F99" t="s">
        <v>12</v>
      </c>
      <c r="G99" s="2"/>
      <c r="H99" s="2"/>
      <c r="I99" s="2"/>
      <c r="J99" s="3"/>
      <c r="K99" s="3"/>
      <c r="L99" s="3"/>
      <c r="R99" s="12"/>
      <c r="S99" s="12"/>
    </row>
    <row r="100" spans="1:21" ht="16">
      <c r="A100" s="3"/>
      <c r="B100" t="s">
        <v>15</v>
      </c>
      <c r="C100" s="4">
        <f>SUM(C6:C96)</f>
        <v>3752.6465556347093</v>
      </c>
      <c r="E100" t="s">
        <v>25</v>
      </c>
      <c r="F100" s="15">
        <f>SUM(D6:D96)/1000000*SUM(N6:N96)*44/12/SUM(R6:R96)*1000</f>
        <v>3144.2183124363814</v>
      </c>
      <c r="G100" s="2"/>
      <c r="I100" s="2"/>
      <c r="J100" s="3"/>
      <c r="K100" s="3"/>
      <c r="L100" s="3"/>
      <c r="R100" s="12"/>
      <c r="S100" s="12"/>
    </row>
    <row r="101" spans="1:21" ht="16">
      <c r="A101" s="3"/>
      <c r="B101" t="s">
        <v>5</v>
      </c>
      <c r="C101" s="4">
        <f>SUM(C16:C96)</f>
        <v>3119.2656993410192</v>
      </c>
      <c r="E101" t="s">
        <v>26</v>
      </c>
      <c r="F101" s="15">
        <f>SUM(D16:D96)/1000000*SUM(N16:N96)*44/12/SUM(R16:R96)*1000</f>
        <v>2798.1965256780782</v>
      </c>
      <c r="G101" s="2"/>
      <c r="I101" s="2"/>
      <c r="J101" s="3"/>
      <c r="K101" s="3"/>
      <c r="L101" s="3"/>
      <c r="R101" s="12"/>
      <c r="S101" s="12"/>
    </row>
    <row r="102" spans="1:21" ht="16">
      <c r="A102" s="3"/>
      <c r="B102" t="s">
        <v>6</v>
      </c>
      <c r="C102" s="4">
        <f>SUM(C26:C96)</f>
        <v>2270.9508296944095</v>
      </c>
      <c r="E102" t="s">
        <v>27</v>
      </c>
      <c r="F102" s="15">
        <f>SUM(D26:D96)/1000000*SUM(N26:N96)*44/12/SUM(R26:R96)*1000</f>
        <v>2408.4381250964302</v>
      </c>
      <c r="G102" s="2"/>
      <c r="I102" s="2"/>
      <c r="J102" s="3"/>
      <c r="K102" s="3"/>
      <c r="L102" s="3"/>
      <c r="R102" s="12"/>
      <c r="S102" s="12"/>
    </row>
    <row r="103" spans="1:21" ht="16">
      <c r="B103" t="s">
        <v>7</v>
      </c>
      <c r="C103" s="4">
        <f>SUM(C36:C96)</f>
        <v>1654.552810172768</v>
      </c>
      <c r="E103" t="s">
        <v>28</v>
      </c>
      <c r="F103" s="15">
        <f>SUM(D36:D96)/1000000*SUM(N36:N96)*44/12/SUM(R36:R96)*1000</f>
        <v>2015.0211101274351</v>
      </c>
      <c r="G103" s="2"/>
      <c r="I103" s="2"/>
      <c r="R103" s="12"/>
      <c r="S103" s="12"/>
    </row>
    <row r="104" spans="1:21" ht="16">
      <c r="B104" t="s">
        <v>8</v>
      </c>
      <c r="C104" s="4">
        <f>SUM(C46:C96)</f>
        <v>1068.369347955565</v>
      </c>
      <c r="E104" t="s">
        <v>29</v>
      </c>
      <c r="F104" s="15">
        <f>SUM(D46:D96)/1000000*SUM(N46:N96)*44/12/SUM(R46:R96)*1000</f>
        <v>1607.4294380880181</v>
      </c>
      <c r="G104" s="2"/>
      <c r="I104" s="2"/>
      <c r="R104" s="12"/>
      <c r="S104" s="12"/>
    </row>
    <row r="105" spans="1:21" ht="16">
      <c r="B105" t="s">
        <v>9</v>
      </c>
      <c r="C105" s="4">
        <f>SUM(C56:C96)</f>
        <v>528.63655034781993</v>
      </c>
      <c r="E105" t="s">
        <v>30</v>
      </c>
      <c r="F105" s="15">
        <f>SUM(D56:D96)/1000000*SUM(N56:N96)*44/12/SUM(R56:R96)*1000</f>
        <v>1166.5289917089649</v>
      </c>
      <c r="G105" s="2"/>
      <c r="I105" s="2"/>
      <c r="R105" s="12"/>
      <c r="S105" s="12"/>
    </row>
    <row r="106" spans="1:21" ht="16">
      <c r="E106" t="s">
        <v>31</v>
      </c>
      <c r="F106" s="4">
        <f>SUM(F68:F96)</f>
        <v>563.24917989885398</v>
      </c>
      <c r="G106" s="2"/>
      <c r="H106" s="2"/>
      <c r="I106" s="2"/>
      <c r="R106" s="12"/>
      <c r="S106" s="12"/>
    </row>
    <row r="107" spans="1:21" ht="16">
      <c r="H107" s="2"/>
      <c r="I107" s="2"/>
      <c r="R107" s="12"/>
      <c r="S107" s="12"/>
    </row>
    <row r="108" spans="1:21" ht="16">
      <c r="H108" s="2"/>
      <c r="I108" s="2"/>
      <c r="R108" s="12"/>
      <c r="S108" s="12"/>
    </row>
    <row r="109" spans="1:21" ht="48">
      <c r="D109" s="20" t="s">
        <v>37</v>
      </c>
      <c r="E109" s="20" t="s">
        <v>38</v>
      </c>
      <c r="F109" s="5"/>
      <c r="G109" s="5"/>
      <c r="H109" s="5"/>
      <c r="I109" s="5"/>
      <c r="J109" t="s">
        <v>42</v>
      </c>
      <c r="R109" s="12"/>
      <c r="S109" s="12"/>
      <c r="T109" s="5"/>
    </row>
    <row r="110" spans="1:21" ht="32">
      <c r="E110" t="s">
        <v>12</v>
      </c>
      <c r="J110" s="20" t="s">
        <v>40</v>
      </c>
      <c r="K110" s="20" t="s">
        <v>41</v>
      </c>
      <c r="M110" t="s">
        <v>39</v>
      </c>
      <c r="N110" t="s">
        <v>43</v>
      </c>
      <c r="R110" s="12"/>
      <c r="S110" s="12"/>
    </row>
    <row r="111" spans="1:21">
      <c r="D111" s="8">
        <v>1960</v>
      </c>
      <c r="E111" s="14">
        <f t="shared" ref="E111:E116" si="16">F100-C100</f>
        <v>-608.42824319832789</v>
      </c>
      <c r="G111" s="12"/>
      <c r="I111">
        <v>1960</v>
      </c>
      <c r="J111" s="9">
        <f t="shared" ref="J111:J118" si="17">E111/$C$67*2</f>
        <v>-30.833579562812545</v>
      </c>
      <c r="K111" s="9">
        <f t="shared" ref="K111:K118" si="18">2021+J111</f>
        <v>1990.1664204371875</v>
      </c>
      <c r="L111" s="16"/>
      <c r="R111" s="12"/>
      <c r="S111" s="12"/>
    </row>
    <row r="112" spans="1:21">
      <c r="D112" s="8">
        <v>1970</v>
      </c>
      <c r="E112" s="14">
        <f t="shared" si="16"/>
        <v>-321.06917366294101</v>
      </c>
      <c r="G112" s="12"/>
      <c r="I112">
        <v>1970</v>
      </c>
      <c r="J112" s="9">
        <f t="shared" si="17"/>
        <v>-16.270960498583865</v>
      </c>
      <c r="K112" s="9">
        <f t="shared" si="18"/>
        <v>2004.7290395014161</v>
      </c>
      <c r="L112" s="16"/>
      <c r="R112" s="12"/>
      <c r="S112" s="12"/>
      <c r="T112" s="4"/>
      <c r="U112" s="4"/>
    </row>
    <row r="113" spans="4:24">
      <c r="D113" s="8">
        <v>1980</v>
      </c>
      <c r="E113" s="14">
        <f t="shared" si="16"/>
        <v>137.48729540202066</v>
      </c>
      <c r="G113" s="12"/>
      <c r="I113">
        <v>1980</v>
      </c>
      <c r="J113" s="9">
        <f t="shared" si="17"/>
        <v>6.9675027565613279</v>
      </c>
      <c r="K113" s="9">
        <f t="shared" si="18"/>
        <v>2027.9675027565613</v>
      </c>
      <c r="L113" s="16"/>
      <c r="M113" s="17">
        <f>(0-$C$67)/($A$67-K113)/$C$67</f>
        <v>0.14352344519107613</v>
      </c>
      <c r="N113" s="17">
        <f>M113*2</f>
        <v>0.28704689038215225</v>
      </c>
      <c r="R113" s="12"/>
      <c r="S113" s="12"/>
      <c r="T113" s="4"/>
      <c r="U113" s="4"/>
    </row>
    <row r="114" spans="4:24">
      <c r="D114" s="8">
        <v>1990</v>
      </c>
      <c r="E114" s="14">
        <f t="shared" si="16"/>
        <v>360.46829995466715</v>
      </c>
      <c r="G114" s="12"/>
      <c r="I114">
        <v>1990</v>
      </c>
      <c r="J114" s="9">
        <f t="shared" si="17"/>
        <v>18.267606954105567</v>
      </c>
      <c r="K114" s="9">
        <f t="shared" si="18"/>
        <v>2039.2676069541055</v>
      </c>
      <c r="L114" s="16"/>
      <c r="M114" s="17">
        <f t="shared" ref="M114:M118" si="19">(0-$C$67)/($A$67-K114)/$C$67</f>
        <v>5.4741707685759915E-2</v>
      </c>
      <c r="N114" s="17">
        <f t="shared" ref="N114:N118" si="20">M114*2</f>
        <v>0.10948341537151983</v>
      </c>
      <c r="R114" s="12"/>
      <c r="S114" s="12"/>
      <c r="T114" s="4"/>
      <c r="U114" s="4"/>
    </row>
    <row r="115" spans="4:24">
      <c r="D115" s="8">
        <v>2000</v>
      </c>
      <c r="E115" s="14">
        <f t="shared" si="16"/>
        <v>539.06009013245307</v>
      </c>
      <c r="G115" s="12"/>
      <c r="I115">
        <v>2000</v>
      </c>
      <c r="J115" s="9">
        <f t="shared" si="17"/>
        <v>27.318179857764981</v>
      </c>
      <c r="K115" s="9">
        <f t="shared" si="18"/>
        <v>2048.3181798577648</v>
      </c>
      <c r="L115" s="16"/>
      <c r="M115" s="17">
        <f t="shared" si="19"/>
        <v>3.660565986484509E-2</v>
      </c>
      <c r="N115" s="17">
        <f t="shared" si="20"/>
        <v>7.321131972969018E-2</v>
      </c>
      <c r="R115" s="12"/>
      <c r="S115" s="12"/>
      <c r="T115" s="4"/>
      <c r="U115" s="4"/>
    </row>
    <row r="116" spans="4:24">
      <c r="D116" s="8">
        <v>2010</v>
      </c>
      <c r="E116" s="14">
        <f t="shared" si="16"/>
        <v>637.89244136114496</v>
      </c>
      <c r="G116" s="12"/>
      <c r="I116">
        <v>2010</v>
      </c>
      <c r="J116" s="9">
        <f t="shared" si="17"/>
        <v>32.326749395843386</v>
      </c>
      <c r="K116" s="9">
        <f t="shared" si="18"/>
        <v>2053.3267493958433</v>
      </c>
      <c r="L116" s="16"/>
      <c r="M116" s="17">
        <f t="shared" si="19"/>
        <v>3.0934134074383106E-2</v>
      </c>
      <c r="N116" s="17">
        <f t="shared" si="20"/>
        <v>6.1868268148766212E-2</v>
      </c>
      <c r="R116" s="12"/>
      <c r="S116" s="12"/>
      <c r="T116" s="4"/>
      <c r="U116" s="4"/>
    </row>
    <row r="117" spans="4:24">
      <c r="D117" s="8" t="s">
        <v>1</v>
      </c>
      <c r="E117" s="14">
        <f t="shared" ref="E117" si="21">F106-C106</f>
        <v>563.24917989885398</v>
      </c>
      <c r="F117" s="12"/>
      <c r="I117" t="s">
        <v>1</v>
      </c>
      <c r="J117" s="9">
        <f t="shared" si="17"/>
        <v>28.544020755524254</v>
      </c>
      <c r="K117" s="9">
        <f t="shared" si="18"/>
        <v>2049.5440207555243</v>
      </c>
      <c r="L117" s="16"/>
      <c r="M117" s="17">
        <f t="shared" si="19"/>
        <v>3.5033606812609343E-2</v>
      </c>
      <c r="N117" s="17">
        <f t="shared" si="20"/>
        <v>7.0067213625218686E-2</v>
      </c>
      <c r="R117" s="12"/>
      <c r="S117" s="12"/>
      <c r="T117" s="4"/>
      <c r="U117" s="4"/>
    </row>
    <row r="118" spans="4:24">
      <c r="D118" s="8" t="s">
        <v>2</v>
      </c>
      <c r="E118" s="14">
        <f>'Economic capacity'!L5</f>
        <v>181.52792874632712</v>
      </c>
      <c r="I118" t="s">
        <v>2</v>
      </c>
      <c r="J118" s="9">
        <f t="shared" si="17"/>
        <v>9.1993688597522141</v>
      </c>
      <c r="K118" s="9">
        <f t="shared" si="18"/>
        <v>2030.1993688597522</v>
      </c>
      <c r="L118" s="16"/>
      <c r="M118" s="17">
        <f t="shared" si="19"/>
        <v>0.10870310944645993</v>
      </c>
      <c r="N118" s="17">
        <f t="shared" si="20"/>
        <v>0.21740621889291986</v>
      </c>
      <c r="R118" s="12"/>
      <c r="S118" s="12"/>
      <c r="T118" s="4"/>
    </row>
    <row r="119" spans="4:24" ht="16">
      <c r="M119" s="2"/>
      <c r="N119" s="6"/>
      <c r="O119" s="6"/>
      <c r="P119" s="6"/>
      <c r="Q119" s="6"/>
      <c r="R119" s="12"/>
      <c r="S119" s="12"/>
      <c r="V119" s="4"/>
      <c r="W119" s="4"/>
      <c r="X119" s="4"/>
    </row>
    <row r="120" spans="4:24" ht="16">
      <c r="H120" s="2"/>
      <c r="I120" s="2"/>
      <c r="J120" s="2"/>
      <c r="K120" s="2"/>
      <c r="L120" s="2"/>
      <c r="M120" s="7"/>
      <c r="R120" s="12"/>
      <c r="S120" s="12"/>
    </row>
    <row r="121" spans="4:24" ht="16">
      <c r="H121" s="2"/>
      <c r="I121" s="2"/>
      <c r="J121" s="2"/>
      <c r="K121" s="2"/>
      <c r="L121" s="2"/>
      <c r="R121" s="12"/>
      <c r="S121" s="12"/>
    </row>
    <row r="122" spans="4:24" ht="16">
      <c r="H122" s="2"/>
      <c r="I122" s="2"/>
      <c r="J122" s="2"/>
      <c r="K122" s="2"/>
      <c r="L122" s="2"/>
      <c r="R122" s="12"/>
      <c r="S122" s="12"/>
    </row>
    <row r="123" spans="4:24" ht="16">
      <c r="H123" s="2"/>
      <c r="I123" s="2"/>
      <c r="J123" s="2"/>
      <c r="K123" s="2"/>
      <c r="L123" s="2"/>
      <c r="R123" s="12"/>
      <c r="S123" s="12"/>
    </row>
    <row r="124" spans="4:24" ht="16">
      <c r="H124" s="2"/>
      <c r="I124" s="2"/>
      <c r="J124" s="2"/>
      <c r="K124" s="2"/>
      <c r="L124" s="2"/>
      <c r="R124" s="12"/>
      <c r="S124" s="12"/>
    </row>
    <row r="125" spans="4:24" ht="16">
      <c r="H125" s="2"/>
      <c r="I125" s="2"/>
      <c r="J125" s="2"/>
      <c r="K125" s="2"/>
      <c r="L125" s="2"/>
      <c r="R125" s="12"/>
      <c r="S125" s="12"/>
    </row>
    <row r="126" spans="4:24" ht="16">
      <c r="H126" s="2"/>
      <c r="I126" s="2"/>
      <c r="J126" s="2"/>
      <c r="K126" s="2"/>
      <c r="L126" s="2"/>
      <c r="R126" s="12"/>
      <c r="S126" s="12"/>
    </row>
    <row r="127" spans="4:24" ht="16">
      <c r="H127" s="2"/>
      <c r="I127" s="2"/>
      <c r="J127" s="2"/>
      <c r="K127" s="2"/>
      <c r="L127" s="2"/>
      <c r="R127" s="12"/>
      <c r="S127" s="12"/>
    </row>
    <row r="128" spans="4:24" ht="16">
      <c r="H128" s="2"/>
      <c r="I128" s="2"/>
      <c r="J128" s="2"/>
      <c r="K128" s="2"/>
      <c r="L128" s="2"/>
      <c r="R128" s="12"/>
      <c r="S128" s="12"/>
    </row>
    <row r="129" spans="8:19" ht="16">
      <c r="H129" s="2"/>
      <c r="I129" s="2"/>
      <c r="J129" s="2"/>
      <c r="K129" s="2"/>
      <c r="L129" s="2"/>
      <c r="R129" s="12"/>
      <c r="S129" s="12"/>
    </row>
    <row r="130" spans="8:19" ht="16">
      <c r="H130" s="2"/>
      <c r="I130" s="2"/>
      <c r="J130" s="2"/>
      <c r="K130" s="2"/>
      <c r="L130" s="2"/>
      <c r="R130" s="12"/>
      <c r="S130" s="12"/>
    </row>
    <row r="131" spans="8:19" ht="16">
      <c r="H131" s="2"/>
      <c r="I131" s="2"/>
      <c r="J131" s="2"/>
      <c r="K131" s="2"/>
      <c r="L131" s="2"/>
      <c r="R131" s="12"/>
      <c r="S131" s="12"/>
    </row>
    <row r="132" spans="8:19" ht="16">
      <c r="H132" s="2"/>
      <c r="I132" s="2"/>
      <c r="J132" s="2"/>
      <c r="K132" s="2"/>
      <c r="L132" s="2"/>
      <c r="R132" s="12"/>
      <c r="S132" s="12"/>
    </row>
    <row r="133" spans="8:19" ht="16">
      <c r="H133" s="2"/>
      <c r="I133" s="2"/>
      <c r="J133" s="2"/>
      <c r="K133" s="2"/>
      <c r="L133" s="2"/>
      <c r="R133" s="12"/>
      <c r="S133" s="12"/>
    </row>
    <row r="134" spans="8:19" ht="16">
      <c r="H134" s="2"/>
      <c r="I134" s="2"/>
      <c r="J134" s="2"/>
      <c r="K134" s="2"/>
      <c r="L134" s="2"/>
      <c r="R134" s="12"/>
      <c r="S134" s="12"/>
    </row>
    <row r="135" spans="8:19" ht="16">
      <c r="H135" s="2"/>
      <c r="I135" s="2"/>
      <c r="J135" s="2"/>
      <c r="K135" s="2"/>
      <c r="L135" s="2"/>
      <c r="R135" s="12"/>
      <c r="S135" s="12"/>
    </row>
    <row r="136" spans="8:19" ht="16">
      <c r="H136" s="2"/>
      <c r="I136" s="2"/>
      <c r="J136" s="2"/>
      <c r="K136" s="2"/>
      <c r="L136" s="2"/>
      <c r="R136" s="12"/>
      <c r="S136" s="12"/>
    </row>
    <row r="137" spans="8:19" ht="16">
      <c r="H137" s="2"/>
      <c r="I137" s="2"/>
      <c r="J137" s="2"/>
      <c r="K137" s="2"/>
      <c r="L137" s="2"/>
    </row>
    <row r="138" spans="8:19" ht="16">
      <c r="H138" s="2"/>
      <c r="I138" s="2"/>
      <c r="J138" s="2"/>
      <c r="K138" s="2"/>
      <c r="L138" s="2"/>
    </row>
    <row r="139" spans="8:19" ht="16">
      <c r="H139" s="2"/>
      <c r="I139" s="2"/>
      <c r="J139" s="2"/>
      <c r="K139" s="2"/>
      <c r="L139" s="2"/>
    </row>
    <row r="140" spans="8:19" ht="16">
      <c r="H140" s="2"/>
      <c r="I140" s="2"/>
      <c r="J140" s="2"/>
      <c r="K140" s="2"/>
      <c r="L140" s="2"/>
    </row>
    <row r="141" spans="8:19" ht="16">
      <c r="H141" s="2"/>
      <c r="I141" s="2"/>
      <c r="J141" s="2"/>
      <c r="K141" s="2"/>
      <c r="L141" s="2"/>
    </row>
    <row r="142" spans="8:19" ht="16">
      <c r="H142" s="2"/>
      <c r="I142" s="2"/>
      <c r="J142" s="2"/>
      <c r="K142" s="2"/>
      <c r="L142" s="2"/>
    </row>
    <row r="143" spans="8:19" ht="16">
      <c r="H143" s="2"/>
      <c r="I143" s="2"/>
      <c r="J143" s="2"/>
      <c r="K143" s="2"/>
      <c r="L143" s="2"/>
    </row>
    <row r="144" spans="8:19" ht="16">
      <c r="H144" s="2"/>
      <c r="I144" s="2"/>
      <c r="J144" s="2"/>
      <c r="K144" s="2"/>
      <c r="L144" s="2"/>
    </row>
    <row r="145" spans="8:12" ht="16">
      <c r="H145" s="2"/>
      <c r="I145" s="2"/>
      <c r="J145" s="2"/>
      <c r="K145" s="2"/>
      <c r="L145" s="2"/>
    </row>
    <row r="146" spans="8:12" ht="16">
      <c r="H146" s="2"/>
      <c r="I146" s="2"/>
      <c r="J146" s="2"/>
      <c r="K146" s="2"/>
      <c r="L146" s="2"/>
    </row>
    <row r="147" spans="8:12" ht="16">
      <c r="H147" s="2"/>
      <c r="I147" s="2"/>
      <c r="J147" s="2"/>
      <c r="K147" s="2"/>
      <c r="L147" s="2"/>
    </row>
    <row r="148" spans="8:12" ht="16">
      <c r="H148" s="2"/>
      <c r="I148" s="2"/>
      <c r="J148" s="2"/>
      <c r="K148" s="2"/>
      <c r="L148" s="2"/>
    </row>
    <row r="149" spans="8:12" ht="16">
      <c r="H149" s="2"/>
      <c r="I149" s="2"/>
      <c r="J149" s="2"/>
      <c r="K149" s="2"/>
      <c r="L149" s="2"/>
    </row>
    <row r="150" spans="8:12" ht="16">
      <c r="H150" s="2"/>
      <c r="I150" s="2"/>
      <c r="J150" s="2"/>
      <c r="K150" s="2"/>
      <c r="L150" s="2"/>
    </row>
    <row r="151" spans="8:12" ht="16">
      <c r="H151" s="2"/>
      <c r="I151" s="2"/>
      <c r="J151" s="2"/>
      <c r="K151" s="2"/>
      <c r="L151" s="2"/>
    </row>
    <row r="152" spans="8:12" ht="16">
      <c r="H152" s="2"/>
      <c r="I152" s="2"/>
      <c r="J152" s="2"/>
      <c r="K152" s="2"/>
      <c r="L152" s="2"/>
    </row>
    <row r="153" spans="8:12" ht="16">
      <c r="H153" s="2"/>
      <c r="I153" s="2"/>
      <c r="J153" s="2"/>
      <c r="K153" s="2"/>
      <c r="L153" s="2"/>
    </row>
    <row r="154" spans="8:12" ht="16">
      <c r="H154" s="2"/>
      <c r="I154" s="2"/>
      <c r="J154" s="2"/>
      <c r="K154" s="2"/>
      <c r="L154" s="2"/>
    </row>
    <row r="155" spans="8:12" ht="16">
      <c r="H155" s="2"/>
      <c r="I155" s="2"/>
      <c r="J155" s="2"/>
      <c r="K155" s="2"/>
      <c r="L155" s="2"/>
    </row>
    <row r="156" spans="8:12" ht="16">
      <c r="H156" s="2"/>
      <c r="I156" s="2"/>
      <c r="J156" s="2"/>
      <c r="K156" s="2"/>
      <c r="L156" s="2"/>
    </row>
    <row r="157" spans="8:12" ht="16">
      <c r="H157" s="2"/>
      <c r="I157" s="2"/>
      <c r="J157" s="2"/>
      <c r="K157" s="2"/>
      <c r="L157" s="2"/>
    </row>
    <row r="158" spans="8:12" ht="16">
      <c r="H158" s="2"/>
      <c r="I158" s="2"/>
      <c r="J158" s="2"/>
      <c r="K158" s="2"/>
      <c r="L158" s="2"/>
    </row>
    <row r="159" spans="8:12" ht="16">
      <c r="H159" s="2"/>
      <c r="I159" s="2"/>
      <c r="J159" s="2"/>
      <c r="K159" s="2"/>
      <c r="L159" s="2"/>
    </row>
    <row r="160" spans="8:12" ht="16">
      <c r="H160" s="2"/>
      <c r="I160" s="2"/>
      <c r="J160" s="2"/>
      <c r="K160" s="2"/>
      <c r="L160" s="2"/>
    </row>
    <row r="161" spans="8:12" ht="16">
      <c r="H161" s="2"/>
      <c r="I161" s="2"/>
      <c r="J161" s="2"/>
      <c r="K161" s="2"/>
      <c r="L161" s="2"/>
    </row>
    <row r="162" spans="8:12" ht="16">
      <c r="H162" s="2"/>
      <c r="I162" s="2"/>
      <c r="J162" s="2"/>
      <c r="K162" s="2"/>
      <c r="L162" s="2"/>
    </row>
    <row r="163" spans="8:12" ht="16">
      <c r="H163" s="2"/>
      <c r="I163" s="2"/>
      <c r="J163" s="2"/>
      <c r="K163" s="2"/>
      <c r="L163" s="2"/>
    </row>
    <row r="164" spans="8:12" ht="16">
      <c r="H164" s="2"/>
      <c r="I164" s="2"/>
      <c r="J164" s="2"/>
      <c r="K164" s="2"/>
      <c r="L164" s="2"/>
    </row>
    <row r="165" spans="8:12" ht="16">
      <c r="H165" s="2"/>
      <c r="I165" s="2"/>
      <c r="J165" s="2"/>
      <c r="K165" s="2"/>
      <c r="L165" s="2"/>
    </row>
    <row r="166" spans="8:12" ht="16">
      <c r="H166" s="2"/>
      <c r="I166" s="2"/>
      <c r="J166" s="2"/>
      <c r="K166" s="2"/>
      <c r="L166" s="2"/>
    </row>
    <row r="167" spans="8:12" ht="16">
      <c r="H167" s="2"/>
      <c r="I167" s="2"/>
      <c r="J167" s="2"/>
      <c r="K167" s="2"/>
      <c r="L167" s="2"/>
    </row>
    <row r="168" spans="8:12" ht="16">
      <c r="H168" s="2"/>
      <c r="I168" s="2"/>
      <c r="J168" s="2"/>
      <c r="K168" s="2"/>
      <c r="L168" s="2"/>
    </row>
    <row r="169" spans="8:12" ht="16">
      <c r="H169" s="2"/>
      <c r="I169" s="2"/>
      <c r="J169" s="2"/>
      <c r="K169" s="2"/>
      <c r="L169" s="2"/>
    </row>
    <row r="170" spans="8:12" ht="16">
      <c r="H170" s="2"/>
      <c r="I170" s="2"/>
      <c r="J170" s="2"/>
      <c r="K170" s="2"/>
      <c r="L170" s="2"/>
    </row>
    <row r="171" spans="8:12" ht="16">
      <c r="H171" s="2"/>
      <c r="I171" s="2"/>
      <c r="J171" s="2"/>
      <c r="K171" s="2"/>
      <c r="L171" s="2"/>
    </row>
    <row r="172" spans="8:12" ht="16">
      <c r="H172" s="2"/>
      <c r="I172" s="2"/>
      <c r="J172" s="2"/>
      <c r="K172" s="2"/>
      <c r="L172" s="2"/>
    </row>
    <row r="173" spans="8:12" ht="16">
      <c r="H173" s="2"/>
      <c r="I173" s="2"/>
      <c r="J173" s="2"/>
      <c r="K173" s="2"/>
      <c r="L173" s="2"/>
    </row>
    <row r="174" spans="8:12" ht="16">
      <c r="H174" s="2"/>
      <c r="I174" s="2"/>
      <c r="J174" s="2"/>
      <c r="K174" s="2"/>
      <c r="L174" s="2"/>
    </row>
    <row r="175" spans="8:12" ht="16">
      <c r="H175" s="2"/>
      <c r="I175" s="2"/>
      <c r="J175" s="2"/>
      <c r="K175" s="2"/>
      <c r="L175" s="2"/>
    </row>
    <row r="176" spans="8:12" ht="16">
      <c r="H176" s="2"/>
      <c r="I176" s="2"/>
      <c r="J176" s="2"/>
      <c r="K176" s="2"/>
      <c r="L176" s="2"/>
    </row>
    <row r="177" spans="8:12" ht="16">
      <c r="H177" s="2"/>
      <c r="I177" s="2"/>
      <c r="J177" s="2"/>
      <c r="K177" s="2"/>
      <c r="L177" s="2"/>
    </row>
    <row r="178" spans="8:12" ht="16">
      <c r="H178" s="2"/>
      <c r="I178" s="2"/>
      <c r="J178" s="2"/>
      <c r="K178" s="2"/>
      <c r="L178" s="2"/>
    </row>
    <row r="179" spans="8:12" ht="16">
      <c r="H179" s="2"/>
      <c r="I179" s="2"/>
      <c r="J179" s="2"/>
      <c r="K179" s="2"/>
      <c r="L179" s="2"/>
    </row>
    <row r="180" spans="8:12" ht="16">
      <c r="H180" s="2"/>
      <c r="I180" s="2"/>
      <c r="J180" s="2"/>
      <c r="K180" s="2"/>
      <c r="L180" s="2"/>
    </row>
    <row r="181" spans="8:12" ht="16">
      <c r="H181" s="2"/>
      <c r="I181" s="2"/>
      <c r="J181" s="2"/>
      <c r="K181" s="2"/>
      <c r="L181" s="2"/>
    </row>
    <row r="182" spans="8:12" ht="16">
      <c r="H182" s="2"/>
      <c r="I182" s="2"/>
      <c r="J182" s="2"/>
      <c r="K182" s="2"/>
      <c r="L182" s="2"/>
    </row>
    <row r="183" spans="8:12" ht="16">
      <c r="H183" s="2"/>
      <c r="I183" s="2"/>
      <c r="J183" s="2"/>
      <c r="K183" s="2"/>
      <c r="L183" s="2"/>
    </row>
    <row r="184" spans="8:12" ht="16">
      <c r="H184" s="2"/>
      <c r="I184" s="2"/>
      <c r="J184" s="2"/>
      <c r="K184" s="2"/>
      <c r="L184" s="2"/>
    </row>
    <row r="185" spans="8:12" ht="16">
      <c r="H185" s="2"/>
      <c r="I185" s="2"/>
      <c r="J185" s="2"/>
      <c r="K185" s="2"/>
      <c r="L185" s="2"/>
    </row>
    <row r="186" spans="8:12" ht="16">
      <c r="H186" s="2"/>
      <c r="I186" s="2"/>
      <c r="J186" s="2"/>
      <c r="K186" s="2"/>
      <c r="L186" s="2"/>
    </row>
    <row r="187" spans="8:12" ht="16">
      <c r="H187" s="2"/>
      <c r="I187" s="2"/>
      <c r="J187" s="2"/>
      <c r="K187" s="2"/>
      <c r="L187" s="2"/>
    </row>
    <row r="188" spans="8:12" ht="16">
      <c r="H188" s="2"/>
      <c r="I188" s="2"/>
      <c r="J188" s="2"/>
      <c r="K188" s="2"/>
      <c r="L188" s="2"/>
    </row>
    <row r="189" spans="8:12" ht="16">
      <c r="H189" s="2"/>
      <c r="I189" s="2"/>
      <c r="J189" s="2"/>
      <c r="K189" s="2"/>
      <c r="L189" s="2"/>
    </row>
    <row r="190" spans="8:12" ht="16">
      <c r="H190" s="2"/>
      <c r="I190" s="2"/>
      <c r="J190" s="2"/>
      <c r="K190" s="2"/>
      <c r="L190" s="2"/>
    </row>
    <row r="191" spans="8:12" ht="16">
      <c r="H191" s="2"/>
      <c r="I191" s="2"/>
      <c r="J191" s="2"/>
      <c r="K191" s="2"/>
      <c r="L191" s="2"/>
    </row>
    <row r="192" spans="8:12" ht="16">
      <c r="H192" s="2"/>
      <c r="I192" s="2"/>
      <c r="J192" s="2"/>
      <c r="K192" s="2"/>
      <c r="L192" s="2"/>
    </row>
    <row r="193" spans="8:12" ht="16">
      <c r="H193" s="2"/>
      <c r="I193" s="2"/>
      <c r="J193" s="2"/>
      <c r="K193" s="2"/>
      <c r="L193" s="2"/>
    </row>
    <row r="194" spans="8:12" ht="16">
      <c r="H194" s="2"/>
      <c r="I194" s="2"/>
      <c r="J194" s="2"/>
      <c r="K194" s="2"/>
      <c r="L194" s="2"/>
    </row>
    <row r="195" spans="8:12" ht="16">
      <c r="H195" s="2"/>
      <c r="I195" s="2"/>
      <c r="J195" s="2"/>
      <c r="K195" s="2"/>
      <c r="L195" s="2"/>
    </row>
    <row r="196" spans="8:12" ht="16">
      <c r="H196" s="2"/>
      <c r="I196" s="2"/>
      <c r="J196" s="2"/>
      <c r="K196" s="2"/>
      <c r="L196" s="2"/>
    </row>
    <row r="197" spans="8:12" ht="16">
      <c r="H197" s="2"/>
      <c r="I197" s="2"/>
      <c r="J197" s="2"/>
      <c r="K197" s="2"/>
      <c r="L197" s="2"/>
    </row>
    <row r="198" spans="8:12" ht="16">
      <c r="H198" s="2"/>
      <c r="I198" s="2"/>
      <c r="J198" s="2"/>
      <c r="K198" s="2"/>
      <c r="L198" s="2"/>
    </row>
    <row r="199" spans="8:12" ht="16">
      <c r="H199" s="2"/>
      <c r="I199" s="2"/>
      <c r="J199" s="2"/>
      <c r="K199" s="2"/>
      <c r="L199" s="2"/>
    </row>
    <row r="200" spans="8:12" ht="16">
      <c r="H200" s="2"/>
      <c r="I200" s="2"/>
      <c r="J200" s="2"/>
      <c r="K200" s="2"/>
      <c r="L200" s="2"/>
    </row>
    <row r="201" spans="8:12" ht="16">
      <c r="H201" s="2"/>
      <c r="I201" s="2"/>
      <c r="J201" s="2"/>
      <c r="K201" s="2"/>
      <c r="L201" s="2"/>
    </row>
    <row r="202" spans="8:12" ht="16">
      <c r="H202" s="2"/>
      <c r="I202" s="2"/>
      <c r="J202" s="2"/>
      <c r="K202" s="2"/>
      <c r="L202" s="2"/>
    </row>
    <row r="203" spans="8:12" ht="16">
      <c r="H203" s="2"/>
      <c r="I203" s="2"/>
      <c r="J203" s="2"/>
      <c r="K203" s="2"/>
      <c r="L203" s="2"/>
    </row>
    <row r="204" spans="8:12" ht="16">
      <c r="H204" s="2"/>
      <c r="I204" s="2"/>
      <c r="J204" s="2"/>
      <c r="K204" s="2"/>
      <c r="L204" s="2"/>
    </row>
    <row r="205" spans="8:12" ht="16">
      <c r="H205" s="2"/>
      <c r="I205" s="2"/>
      <c r="J205" s="2"/>
      <c r="K205" s="2"/>
      <c r="L205" s="2"/>
    </row>
    <row r="206" spans="8:12" ht="16">
      <c r="H206" s="2"/>
      <c r="I206" s="2"/>
      <c r="J206" s="2"/>
      <c r="K206" s="2"/>
      <c r="L206" s="2"/>
    </row>
    <row r="207" spans="8:12" ht="16">
      <c r="H207" s="2"/>
      <c r="I207" s="2"/>
      <c r="J207" s="2"/>
      <c r="K207" s="2"/>
      <c r="L207" s="2"/>
    </row>
    <row r="208" spans="8:12" ht="16">
      <c r="H208" s="2"/>
      <c r="I208" s="2"/>
      <c r="J208" s="2"/>
      <c r="K208" s="2"/>
      <c r="L208" s="2"/>
    </row>
    <row r="209" spans="8:12" ht="16">
      <c r="H209" s="2"/>
      <c r="I209" s="2"/>
      <c r="J209" s="2"/>
      <c r="K209" s="2"/>
      <c r="L209" s="2"/>
    </row>
    <row r="210" spans="8:12" ht="16">
      <c r="H210" s="2"/>
      <c r="I210" s="2"/>
      <c r="J210" s="2"/>
      <c r="K210" s="2"/>
      <c r="L210" s="2"/>
    </row>
    <row r="211" spans="8:12" ht="16">
      <c r="H211" s="2"/>
      <c r="I211" s="2"/>
      <c r="J211" s="2"/>
      <c r="K211" s="2"/>
      <c r="L211" s="2"/>
    </row>
    <row r="212" spans="8:12" ht="16">
      <c r="H212" s="2"/>
      <c r="I212" s="2"/>
      <c r="J212" s="2"/>
      <c r="K212" s="2"/>
      <c r="L212" s="2"/>
    </row>
    <row r="213" spans="8:12" ht="16">
      <c r="H213" s="2"/>
      <c r="I213" s="2"/>
      <c r="J213" s="2"/>
      <c r="K213" s="2"/>
      <c r="L213" s="2"/>
    </row>
    <row r="214" spans="8:12" ht="16">
      <c r="H214" s="2"/>
      <c r="I214" s="2"/>
      <c r="J214" s="2"/>
      <c r="K214" s="2"/>
      <c r="L214" s="2"/>
    </row>
    <row r="215" spans="8:12" ht="16">
      <c r="H215" s="2"/>
      <c r="I215" s="2"/>
      <c r="J215" s="2"/>
      <c r="K215" s="2"/>
      <c r="L215" s="2"/>
    </row>
    <row r="216" spans="8:12" ht="16">
      <c r="H216" s="2"/>
      <c r="I216" s="2"/>
      <c r="J216" s="2"/>
      <c r="K216" s="2"/>
      <c r="L216" s="2"/>
    </row>
    <row r="217" spans="8:12" ht="16">
      <c r="H217" s="2"/>
      <c r="I217" s="2"/>
      <c r="J217" s="2"/>
      <c r="K217" s="2"/>
      <c r="L217" s="2"/>
    </row>
    <row r="218" spans="8:12" ht="16">
      <c r="H218" s="2"/>
      <c r="I218" s="2"/>
      <c r="J218" s="2"/>
      <c r="K218" s="2"/>
      <c r="L218" s="2"/>
    </row>
    <row r="219" spans="8:12" ht="16">
      <c r="H219" s="2"/>
      <c r="I219" s="2"/>
      <c r="J219" s="2"/>
      <c r="K219" s="2"/>
      <c r="L219" s="2"/>
    </row>
    <row r="220" spans="8:12" ht="16">
      <c r="H220" s="2"/>
      <c r="I220" s="2"/>
      <c r="J220" s="2"/>
      <c r="K220" s="2"/>
      <c r="L220" s="2"/>
    </row>
    <row r="221" spans="8:12" ht="16">
      <c r="H221" s="2"/>
      <c r="I221" s="2"/>
      <c r="J221" s="2"/>
      <c r="K221" s="2"/>
      <c r="L221" s="2"/>
    </row>
    <row r="222" spans="8:12" ht="16">
      <c r="H222" s="2"/>
      <c r="I222" s="2"/>
      <c r="J222" s="2"/>
      <c r="K222" s="2"/>
      <c r="L222" s="2"/>
    </row>
    <row r="223" spans="8:12" ht="16">
      <c r="H223" s="2"/>
      <c r="I223" s="2"/>
      <c r="J223" s="2"/>
      <c r="K223" s="2"/>
      <c r="L223" s="2"/>
    </row>
    <row r="224" spans="8:12" ht="16">
      <c r="H224" s="2"/>
      <c r="I224" s="2"/>
      <c r="J224" s="2"/>
      <c r="K224" s="2"/>
      <c r="L224" s="2"/>
    </row>
    <row r="225" spans="8:12" ht="16">
      <c r="H225" s="2"/>
      <c r="I225" s="2"/>
      <c r="J225" s="2"/>
      <c r="K225" s="2"/>
      <c r="L225" s="2"/>
    </row>
    <row r="226" spans="8:12" ht="16">
      <c r="H226" s="2"/>
      <c r="I226" s="2"/>
      <c r="J226" s="2"/>
      <c r="K226" s="2"/>
      <c r="L226" s="2"/>
    </row>
    <row r="227" spans="8:12" ht="16">
      <c r="H227" s="2"/>
      <c r="I227" s="2"/>
      <c r="J227" s="2"/>
      <c r="K227" s="2"/>
      <c r="L227" s="2"/>
    </row>
    <row r="228" spans="8:12" ht="16">
      <c r="H228" s="2"/>
      <c r="I228" s="2"/>
      <c r="J228" s="2"/>
      <c r="K228" s="2"/>
      <c r="L228" s="2"/>
    </row>
    <row r="229" spans="8:12" ht="16">
      <c r="H229" s="2"/>
      <c r="I229" s="2"/>
      <c r="J229" s="2"/>
      <c r="K229" s="2"/>
      <c r="L229" s="2"/>
    </row>
    <row r="230" spans="8:12" ht="16">
      <c r="H230" s="2"/>
      <c r="I230" s="2"/>
      <c r="J230" s="2"/>
      <c r="K230" s="2"/>
      <c r="L230" s="2"/>
    </row>
    <row r="231" spans="8:12" ht="16">
      <c r="H231" s="2"/>
      <c r="I231" s="2"/>
      <c r="J231" s="2"/>
      <c r="K231" s="2"/>
      <c r="L231" s="2"/>
    </row>
    <row r="232" spans="8:12" ht="16">
      <c r="H232" s="2"/>
      <c r="I232" s="2"/>
      <c r="J232" s="2"/>
      <c r="K232" s="2"/>
      <c r="L232" s="2"/>
    </row>
    <row r="233" spans="8:12" ht="16">
      <c r="H233" s="2"/>
      <c r="I233" s="2"/>
      <c r="J233" s="2"/>
      <c r="K233" s="2"/>
      <c r="L233" s="2"/>
    </row>
    <row r="234" spans="8:12" ht="16">
      <c r="H234" s="2"/>
      <c r="I234" s="2"/>
      <c r="J234" s="2"/>
      <c r="K234" s="2"/>
      <c r="L234" s="2"/>
    </row>
    <row r="235" spans="8:12" ht="16">
      <c r="H235" s="2"/>
      <c r="I235" s="2"/>
      <c r="J235" s="2"/>
      <c r="K235" s="2"/>
      <c r="L235" s="2"/>
    </row>
    <row r="236" spans="8:12" ht="16">
      <c r="H236" s="2"/>
      <c r="I236" s="2"/>
      <c r="J236" s="2"/>
      <c r="K236" s="2"/>
      <c r="L236" s="2"/>
    </row>
    <row r="237" spans="8:12" ht="16">
      <c r="H237" s="2"/>
      <c r="I237" s="2"/>
      <c r="J237" s="2"/>
      <c r="K237" s="2"/>
      <c r="L237" s="2"/>
    </row>
    <row r="238" spans="8:12" ht="16">
      <c r="H238" s="2"/>
      <c r="I238" s="2"/>
      <c r="J238" s="2"/>
      <c r="K238" s="2"/>
      <c r="L238" s="2"/>
    </row>
    <row r="239" spans="8:12" ht="16">
      <c r="H239" s="2"/>
      <c r="I239" s="2"/>
      <c r="J239" s="2"/>
      <c r="K239" s="2"/>
      <c r="L239" s="2"/>
    </row>
    <row r="240" spans="8:12" ht="16">
      <c r="H240" s="2"/>
      <c r="I240" s="2"/>
      <c r="J240" s="2"/>
      <c r="K240" s="2"/>
      <c r="L240" s="2"/>
    </row>
    <row r="241" spans="8:12" ht="16">
      <c r="H241" s="2"/>
      <c r="I241" s="2"/>
      <c r="J241" s="2"/>
      <c r="K241" s="2"/>
      <c r="L241" s="2"/>
    </row>
    <row r="242" spans="8:12" ht="16">
      <c r="H242" s="2"/>
      <c r="I242" s="2"/>
      <c r="J242" s="2"/>
      <c r="K242" s="2"/>
      <c r="L242" s="2"/>
    </row>
    <row r="243" spans="8:12" ht="16">
      <c r="H243" s="2"/>
      <c r="I243" s="2"/>
      <c r="J243" s="2"/>
      <c r="K243" s="2"/>
      <c r="L243" s="2"/>
    </row>
    <row r="244" spans="8:12" ht="16">
      <c r="H244" s="2"/>
      <c r="I244" s="2"/>
      <c r="J244" s="2"/>
      <c r="K244" s="2"/>
      <c r="L244" s="2"/>
    </row>
    <row r="245" spans="8:12" ht="16">
      <c r="H245" s="2"/>
      <c r="I245" s="2"/>
      <c r="J245" s="2"/>
      <c r="K245" s="2"/>
      <c r="L245" s="2"/>
    </row>
    <row r="246" spans="8:12" ht="16">
      <c r="H246" s="2"/>
      <c r="I246" s="2"/>
      <c r="J246" s="2"/>
      <c r="K246" s="2"/>
      <c r="L246" s="2"/>
    </row>
    <row r="247" spans="8:12" ht="16">
      <c r="H247" s="2"/>
      <c r="I247" s="2"/>
      <c r="J247" s="2"/>
      <c r="K247" s="2"/>
      <c r="L247" s="2"/>
    </row>
    <row r="248" spans="8:12" ht="16">
      <c r="H248" s="2"/>
      <c r="I248" s="2"/>
      <c r="J248" s="2"/>
      <c r="K248" s="2"/>
      <c r="L248" s="2"/>
    </row>
    <row r="249" spans="8:12" ht="16">
      <c r="H249" s="2"/>
      <c r="I249" s="2"/>
      <c r="J249" s="2"/>
      <c r="K249" s="2"/>
      <c r="L249" s="2"/>
    </row>
    <row r="250" spans="8:12" ht="16">
      <c r="H250" s="2"/>
      <c r="I250" s="2"/>
      <c r="J250" s="2"/>
      <c r="K250" s="2"/>
      <c r="L250" s="2"/>
    </row>
    <row r="251" spans="8:12" ht="16">
      <c r="H251" s="2"/>
      <c r="I251" s="2"/>
      <c r="J251" s="2"/>
      <c r="K251" s="2"/>
      <c r="L251" s="2"/>
    </row>
    <row r="252" spans="8:12" ht="16">
      <c r="H252" s="2"/>
      <c r="I252" s="2"/>
      <c r="J252" s="2"/>
      <c r="K252" s="2"/>
      <c r="L252" s="2"/>
    </row>
    <row r="253" spans="8:12" ht="16">
      <c r="H253" s="2"/>
      <c r="I253" s="2"/>
      <c r="J253" s="2"/>
      <c r="K253" s="2"/>
      <c r="L253" s="2"/>
    </row>
    <row r="254" spans="8:12" ht="16">
      <c r="H254" s="2"/>
      <c r="I254" s="2"/>
      <c r="J254" s="2"/>
      <c r="K254" s="2"/>
      <c r="L254" s="2"/>
    </row>
    <row r="255" spans="8:12" ht="16">
      <c r="H255" s="2"/>
      <c r="I255" s="2"/>
      <c r="J255" s="2"/>
      <c r="K255" s="2"/>
      <c r="L255" s="2"/>
    </row>
    <row r="256" spans="8:12" ht="16">
      <c r="H256" s="2"/>
      <c r="I256" s="2"/>
      <c r="J256" s="2"/>
      <c r="K256" s="2"/>
      <c r="L256" s="2"/>
    </row>
    <row r="257" spans="8:12" ht="16">
      <c r="H257" s="2"/>
      <c r="I257" s="2"/>
      <c r="J257" s="2"/>
      <c r="K257" s="2"/>
      <c r="L257" s="2"/>
    </row>
    <row r="258" spans="8:12" ht="16">
      <c r="H258" s="2"/>
      <c r="I258" s="2"/>
      <c r="J258" s="2"/>
      <c r="K258" s="2"/>
      <c r="L258" s="2"/>
    </row>
    <row r="259" spans="8:12" ht="16">
      <c r="H259" s="2"/>
      <c r="I259" s="2"/>
      <c r="J259" s="2"/>
      <c r="K259" s="2"/>
      <c r="L259" s="2"/>
    </row>
    <row r="260" spans="8:12" ht="16">
      <c r="H260" s="2"/>
      <c r="I260" s="2"/>
      <c r="J260" s="2"/>
      <c r="K260" s="2"/>
      <c r="L260" s="2"/>
    </row>
    <row r="261" spans="8:12" ht="16">
      <c r="H261" s="2"/>
      <c r="I261" s="2"/>
      <c r="J261" s="2"/>
      <c r="K261" s="2"/>
      <c r="L261" s="2"/>
    </row>
    <row r="262" spans="8:12" ht="16">
      <c r="H262" s="2"/>
      <c r="I262" s="2"/>
      <c r="J262" s="2"/>
      <c r="K262" s="2"/>
      <c r="L262" s="2"/>
    </row>
    <row r="263" spans="8:12" ht="16">
      <c r="H263" s="2"/>
      <c r="I263" s="2"/>
      <c r="J263" s="2"/>
      <c r="K263" s="2"/>
      <c r="L263" s="2"/>
    </row>
    <row r="264" spans="8:12" ht="16">
      <c r="H264" s="2"/>
      <c r="I264" s="2"/>
      <c r="J264" s="2"/>
      <c r="K264" s="2"/>
      <c r="L264" s="2"/>
    </row>
    <row r="265" spans="8:12" ht="16">
      <c r="H265" s="2"/>
      <c r="I265" s="2"/>
      <c r="J265" s="2"/>
      <c r="K265" s="2"/>
      <c r="L265" s="2"/>
    </row>
    <row r="266" spans="8:12" ht="16">
      <c r="H266" s="2"/>
      <c r="I266" s="2"/>
      <c r="J266" s="2"/>
      <c r="K266" s="2"/>
      <c r="L266" s="2"/>
    </row>
    <row r="267" spans="8:12" ht="16">
      <c r="H267" s="2"/>
      <c r="I267" s="2"/>
      <c r="J267" s="2"/>
      <c r="K267" s="2"/>
      <c r="L267" s="2"/>
    </row>
    <row r="268" spans="8:12" ht="16">
      <c r="H268" s="2"/>
      <c r="I268" s="2"/>
      <c r="J268" s="2"/>
      <c r="K268" s="2"/>
      <c r="L268" s="2"/>
    </row>
    <row r="269" spans="8:12" ht="16">
      <c r="H269" s="2"/>
      <c r="I269" s="2"/>
      <c r="J269" s="2"/>
      <c r="K269" s="2"/>
      <c r="L269" s="2"/>
    </row>
    <row r="270" spans="8:12" ht="16">
      <c r="H270" s="2"/>
      <c r="I270" s="2"/>
      <c r="J270" s="2"/>
      <c r="K270" s="2"/>
      <c r="L270" s="2"/>
    </row>
    <row r="271" spans="8:12" ht="16">
      <c r="H271" s="2"/>
      <c r="I271" s="2"/>
      <c r="J271" s="2"/>
      <c r="K271" s="2"/>
      <c r="L271" s="2"/>
    </row>
    <row r="272" spans="8:12" ht="16">
      <c r="H272" s="2"/>
      <c r="I272" s="2"/>
      <c r="J272" s="2"/>
      <c r="K272" s="2"/>
      <c r="L272" s="2"/>
    </row>
    <row r="273" spans="8:12" ht="16">
      <c r="H273" s="2"/>
      <c r="I273" s="2"/>
      <c r="J273" s="2"/>
      <c r="K273" s="2"/>
      <c r="L273" s="2"/>
    </row>
    <row r="274" spans="8:12" ht="16">
      <c r="H274" s="2"/>
      <c r="I274" s="2"/>
      <c r="J274" s="2"/>
      <c r="K274" s="2"/>
      <c r="L274" s="2"/>
    </row>
    <row r="275" spans="8:12" ht="16">
      <c r="H275" s="2"/>
      <c r="I275" s="2"/>
      <c r="J275" s="2"/>
      <c r="K275" s="2"/>
      <c r="L275" s="2"/>
    </row>
    <row r="276" spans="8:12" ht="16">
      <c r="H276" s="2"/>
      <c r="I276" s="2"/>
      <c r="J276" s="2"/>
      <c r="K276" s="2"/>
      <c r="L276" s="2"/>
    </row>
    <row r="277" spans="8:12" ht="16">
      <c r="H277" s="2"/>
      <c r="I277" s="2"/>
      <c r="J277" s="2"/>
      <c r="K277" s="2"/>
      <c r="L277" s="2"/>
    </row>
    <row r="278" spans="8:12" ht="16">
      <c r="H278" s="2"/>
      <c r="I278" s="2"/>
      <c r="J278" s="2"/>
      <c r="K278" s="2"/>
      <c r="L278" s="2"/>
    </row>
    <row r="279" spans="8:12" ht="16">
      <c r="H279" s="2"/>
      <c r="I279" s="2"/>
      <c r="J279" s="2"/>
      <c r="K279" s="2"/>
      <c r="L279" s="2"/>
    </row>
    <row r="280" spans="8:12" ht="16">
      <c r="H280" s="2"/>
      <c r="I280" s="2"/>
      <c r="J280" s="2"/>
      <c r="K280" s="2"/>
      <c r="L280" s="2"/>
    </row>
    <row r="281" spans="8:12" ht="16">
      <c r="H281" s="2"/>
      <c r="I281" s="2"/>
      <c r="J281" s="2"/>
      <c r="K281" s="2"/>
      <c r="L281" s="2"/>
    </row>
    <row r="282" spans="8:12" ht="16">
      <c r="H282" s="2"/>
      <c r="I282" s="2"/>
      <c r="J282" s="2"/>
      <c r="K282" s="2"/>
      <c r="L282" s="2"/>
    </row>
    <row r="283" spans="8:12" ht="16">
      <c r="H283" s="2"/>
      <c r="I283" s="2"/>
      <c r="J283" s="2"/>
      <c r="K283" s="2"/>
      <c r="L283" s="2"/>
    </row>
    <row r="284" spans="8:12" ht="16">
      <c r="H284" s="2"/>
      <c r="I284" s="2"/>
      <c r="J284" s="2"/>
      <c r="K284" s="2"/>
      <c r="L284" s="2"/>
    </row>
    <row r="285" spans="8:12" ht="16">
      <c r="H285" s="2"/>
      <c r="I285" s="2"/>
      <c r="J285" s="2"/>
      <c r="K285" s="2"/>
      <c r="L285" s="2"/>
    </row>
    <row r="286" spans="8:12" ht="16">
      <c r="H286" s="2"/>
      <c r="I286" s="2"/>
      <c r="J286" s="2"/>
      <c r="K286" s="2"/>
      <c r="L286" s="2"/>
    </row>
    <row r="287" spans="8:12" ht="16">
      <c r="H287" s="2"/>
      <c r="I287" s="2"/>
      <c r="J287" s="2"/>
      <c r="K287" s="2"/>
      <c r="L287" s="2"/>
    </row>
    <row r="288" spans="8:12" ht="16">
      <c r="H288" s="2"/>
      <c r="I288" s="2"/>
      <c r="J288" s="2"/>
      <c r="K288" s="2"/>
      <c r="L288" s="2"/>
    </row>
    <row r="289" spans="8:12" ht="16">
      <c r="H289" s="2"/>
      <c r="I289" s="2"/>
      <c r="J289" s="2"/>
      <c r="K289" s="2"/>
      <c r="L289" s="2"/>
    </row>
    <row r="290" spans="8:12" ht="16">
      <c r="H290" s="2"/>
      <c r="I290" s="2"/>
      <c r="J290" s="2"/>
      <c r="K290" s="2"/>
      <c r="L290" s="2"/>
    </row>
    <row r="291" spans="8:12" ht="16">
      <c r="H291" s="2"/>
      <c r="I291" s="2"/>
      <c r="J291" s="2"/>
      <c r="K291" s="2"/>
      <c r="L291" s="2"/>
    </row>
    <row r="292" spans="8:12" ht="16">
      <c r="H292" s="2"/>
      <c r="I292" s="2"/>
      <c r="J292" s="2"/>
      <c r="K292" s="2"/>
      <c r="L292" s="2"/>
    </row>
    <row r="293" spans="8:12" ht="16">
      <c r="H293" s="2"/>
      <c r="I293" s="2"/>
      <c r="J293" s="2"/>
      <c r="K293" s="2"/>
      <c r="L293" s="2"/>
    </row>
    <row r="294" spans="8:12" ht="16">
      <c r="H294" s="2"/>
      <c r="I294" s="2"/>
      <c r="J294" s="2"/>
      <c r="K294" s="2"/>
      <c r="L294" s="2"/>
    </row>
    <row r="295" spans="8:12" ht="16">
      <c r="H295" s="2"/>
      <c r="I295" s="2"/>
      <c r="J295" s="2"/>
      <c r="K295" s="2"/>
      <c r="L295" s="2"/>
    </row>
    <row r="296" spans="8:12" ht="16">
      <c r="H296" s="2"/>
      <c r="I296" s="2"/>
      <c r="J296" s="2"/>
      <c r="K296" s="2"/>
      <c r="L296" s="2"/>
    </row>
    <row r="297" spans="8:12" ht="16">
      <c r="H297" s="2"/>
      <c r="I297" s="2"/>
      <c r="J297" s="2"/>
      <c r="K297" s="2"/>
      <c r="L297" s="2"/>
    </row>
    <row r="298" spans="8:12" ht="16">
      <c r="H298" s="2"/>
      <c r="I298" s="2"/>
      <c r="J298" s="2"/>
      <c r="K298" s="2"/>
      <c r="L298" s="2"/>
    </row>
    <row r="299" spans="8:12" ht="16">
      <c r="H299" s="2"/>
      <c r="I299" s="2"/>
      <c r="J299" s="2"/>
      <c r="K299" s="2"/>
      <c r="L299" s="2"/>
    </row>
    <row r="300" spans="8:12" ht="16">
      <c r="H300" s="2"/>
      <c r="I300" s="2"/>
      <c r="J300" s="2"/>
      <c r="K300" s="2"/>
      <c r="L300" s="2"/>
    </row>
    <row r="301" spans="8:12" ht="16">
      <c r="H301" s="2"/>
      <c r="I301" s="2"/>
      <c r="J301" s="2"/>
      <c r="K301" s="2"/>
      <c r="L301" s="2"/>
    </row>
    <row r="302" spans="8:12" ht="16">
      <c r="H302" s="2"/>
      <c r="I302" s="2"/>
      <c r="J302" s="2"/>
      <c r="K302" s="2"/>
      <c r="L302" s="2"/>
    </row>
    <row r="303" spans="8:12" ht="16">
      <c r="H303" s="2"/>
      <c r="I303" s="2"/>
      <c r="J303" s="2"/>
      <c r="K303" s="2"/>
      <c r="L303" s="2"/>
    </row>
    <row r="304" spans="8:12" ht="16">
      <c r="H304" s="2"/>
      <c r="I304" s="2"/>
      <c r="J304" s="2"/>
      <c r="K304" s="2"/>
      <c r="L304" s="2"/>
    </row>
    <row r="305" spans="8:12" ht="16">
      <c r="H305" s="2"/>
      <c r="I305" s="2"/>
      <c r="J305" s="2"/>
      <c r="K305" s="2"/>
      <c r="L305" s="2"/>
    </row>
    <row r="306" spans="8:12" ht="16">
      <c r="H306" s="2"/>
      <c r="I306" s="2"/>
      <c r="J306" s="2"/>
      <c r="K306" s="2"/>
      <c r="L306" s="2"/>
    </row>
    <row r="307" spans="8:12" ht="16">
      <c r="H307" s="2"/>
      <c r="I307" s="2"/>
      <c r="J307" s="2"/>
      <c r="K307" s="2"/>
      <c r="L307" s="2"/>
    </row>
    <row r="308" spans="8:12" ht="16">
      <c r="H308" s="2"/>
      <c r="I308" s="2"/>
      <c r="J308" s="2"/>
      <c r="K308" s="2"/>
      <c r="L308" s="2"/>
    </row>
    <row r="309" spans="8:12" ht="16">
      <c r="H309" s="2"/>
      <c r="I309" s="2"/>
      <c r="J309" s="2"/>
      <c r="K309" s="2"/>
      <c r="L309" s="2"/>
    </row>
    <row r="310" spans="8:12" ht="16">
      <c r="H310" s="2"/>
      <c r="I310" s="2"/>
      <c r="J310" s="2"/>
      <c r="K310" s="2"/>
      <c r="L310" s="2"/>
    </row>
    <row r="311" spans="8:12" ht="16">
      <c r="H311" s="2"/>
      <c r="I311" s="2"/>
      <c r="J311" s="2"/>
      <c r="K311" s="2"/>
      <c r="L311" s="2"/>
    </row>
    <row r="312" spans="8:12" ht="16">
      <c r="H312" s="2"/>
      <c r="I312" s="2"/>
      <c r="J312" s="2"/>
      <c r="K312" s="2"/>
      <c r="L312" s="2"/>
    </row>
    <row r="313" spans="8:12" ht="16">
      <c r="H313" s="2"/>
      <c r="I313" s="2"/>
      <c r="J313" s="2"/>
      <c r="K313" s="2"/>
      <c r="L313" s="2"/>
    </row>
    <row r="314" spans="8:12" ht="16">
      <c r="H314" s="2"/>
      <c r="I314" s="2"/>
      <c r="J314" s="2"/>
      <c r="K314" s="2"/>
      <c r="L314" s="2"/>
    </row>
    <row r="315" spans="8:12" ht="16">
      <c r="H315" s="2"/>
      <c r="I315" s="2"/>
      <c r="J315" s="2"/>
      <c r="K315" s="2"/>
      <c r="L315" s="2"/>
    </row>
    <row r="316" spans="8:12" ht="16">
      <c r="H316" s="2"/>
      <c r="I316" s="2"/>
      <c r="J316" s="2"/>
      <c r="K316" s="2"/>
      <c r="L316" s="2"/>
    </row>
  </sheetData>
  <phoneticPr fontId="7" type="noConversion"/>
  <hyperlinks>
    <hyperlink ref="P2" r:id="rId1" display="https://tntcat.iiasa.ac.at/SspDb/dsd?Action=htmlpage&amp;page=about" xr:uid="{B5165689-8701-6B4B-BDC5-20A0204EB4DB}"/>
    <hyperlink ref="O2" r:id="rId2" display="https://www.scb.se/en/finding-statistics/statistics-by-subject-area/population/population-projections/population-projections/" xr:uid="{9DAF569A-0C5D-B443-B66D-DB40DF5A8EB4}"/>
    <hyperlink ref="N2" r:id="rId3" display="https://data.ene.iiasa.ac.at/ar6/" xr:uid="{089CBD1E-AB42-104D-8DA0-5A5E5DD52306}"/>
    <hyperlink ref="M2" r:id="rId4" location="section7" display="https://essd.copernicus.org/articles/14/1917/2022/ - section7" xr:uid="{5BD38F68-2C03-C44B-B861-970BB47183C9}"/>
  </hyperlinks>
  <pageMargins left="0.7" right="0.7" top="0.75" bottom="0.75" header="0.3" footer="0.3"/>
  <pageSetup paperSize="9" orientation="portrait" r:id="rId5"/>
  <ignoredErrors>
    <ignoredError sqref="F101:F105" formulaRange="1"/>
  </ignoredError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7F39-7333-E047-94F0-AB4F025E1D5F}">
  <dimension ref="A1:H42"/>
  <sheetViews>
    <sheetView workbookViewId="0">
      <selection sqref="A1:H42"/>
    </sheetView>
  </sheetViews>
  <sheetFormatPr baseColWidth="10" defaultRowHeight="15"/>
  <sheetData>
    <row r="1" spans="1:8">
      <c r="A1" t="s">
        <v>85</v>
      </c>
      <c r="B1" t="s">
        <v>86</v>
      </c>
      <c r="C1" t="s">
        <v>87</v>
      </c>
      <c r="D1" t="s">
        <v>88</v>
      </c>
      <c r="E1">
        <v>1980</v>
      </c>
      <c r="F1">
        <v>1990</v>
      </c>
      <c r="G1">
        <v>2000</v>
      </c>
      <c r="H1">
        <v>2010</v>
      </c>
    </row>
    <row r="2" spans="1:8">
      <c r="A2">
        <v>2015</v>
      </c>
      <c r="B2">
        <f>'Historical responsibility T'!C61</f>
        <v>43.634334583385339</v>
      </c>
    </row>
    <row r="3" spans="1:8">
      <c r="A3">
        <v>2016</v>
      </c>
      <c r="B3">
        <f>'Historical responsibility T'!C62</f>
        <v>43.293494864515132</v>
      </c>
    </row>
    <row r="4" spans="1:8">
      <c r="A4">
        <v>2017</v>
      </c>
      <c r="B4">
        <f>'Historical responsibility T'!C63</f>
        <v>42.624727784158665</v>
      </c>
    </row>
    <row r="5" spans="1:8">
      <c r="A5">
        <v>2018</v>
      </c>
      <c r="B5">
        <f>'Historical responsibility T'!C64</f>
        <v>42.126045169043735</v>
      </c>
    </row>
    <row r="6" spans="1:8">
      <c r="A6">
        <v>2019</v>
      </c>
      <c r="B6">
        <f>'Historical responsibility T'!C65</f>
        <v>40.966660509600835</v>
      </c>
    </row>
    <row r="7" spans="1:8">
      <c r="A7">
        <v>2020</v>
      </c>
      <c r="B7">
        <f>'Historical responsibility T'!C66</f>
        <v>38.653575526153134</v>
      </c>
    </row>
    <row r="8" spans="1:8">
      <c r="A8">
        <v>2021</v>
      </c>
      <c r="B8">
        <f>'Historical responsibility T'!C67</f>
        <v>39.465300612202348</v>
      </c>
      <c r="C8">
        <f>B8</f>
        <v>39.465300612202348</v>
      </c>
      <c r="D8">
        <f t="shared" ref="D8:H8" si="0">C8</f>
        <v>39.465300612202348</v>
      </c>
      <c r="E8">
        <f t="shared" si="0"/>
        <v>39.465300612202348</v>
      </c>
      <c r="F8">
        <f t="shared" si="0"/>
        <v>39.465300612202348</v>
      </c>
      <c r="G8">
        <f t="shared" si="0"/>
        <v>39.465300612202348</v>
      </c>
      <c r="H8">
        <f t="shared" si="0"/>
        <v>39.465300612202348</v>
      </c>
    </row>
    <row r="9" spans="1:8">
      <c r="A9">
        <v>2022</v>
      </c>
      <c r="C9">
        <f>C$8-C$8*'Historical responsibility T'!$M$118*($A9-$A$8)</f>
        <v>35.175299720416675</v>
      </c>
      <c r="D9">
        <f>D$8-D$8*'Historical responsibility T'!$M$117*($A9-$A$8)</f>
        <v>38.082688787813019</v>
      </c>
      <c r="E9">
        <f>E$8-E$8*'Historical responsibility T'!$M$113*($A9-$A$8)</f>
        <v>33.801104702837584</v>
      </c>
      <c r="F9">
        <f>F$8-F$8*'Historical responsibility T'!$M$114*($A9-$A$8)</f>
        <v>37.304902662358529</v>
      </c>
      <c r="G9">
        <f>G$8-G$8*'Historical responsibility T'!$M$115*($A9-$A$8)</f>
        <v>38.020647241528209</v>
      </c>
      <c r="H9">
        <f>H$8-H$8*'Historical responsibility T'!$M$116*($A9-$A$8)</f>
        <v>38.244475711778648</v>
      </c>
    </row>
    <row r="10" spans="1:8">
      <c r="A10">
        <v>2023</v>
      </c>
      <c r="C10">
        <f>C$8-C$8*'Historical responsibility T'!$M$118*($A10-$A$8)</f>
        <v>30.885298828631001</v>
      </c>
      <c r="D10">
        <f>D$8-D$8*'Historical responsibility T'!$M$117*($A10-$A$8)</f>
        <v>36.70007696342369</v>
      </c>
      <c r="E10">
        <f>E$8-E$8*'Historical responsibility T'!$M$113*($A10-$A$8)</f>
        <v>28.136908793472813</v>
      </c>
      <c r="F10">
        <f>F$8-F$8*'Historical responsibility T'!$M$114*($A10-$A$8)</f>
        <v>35.144504712514703</v>
      </c>
      <c r="G10">
        <f>G$8-G$8*'Historical responsibility T'!$M$115*($A10-$A$8)</f>
        <v>36.575993870854063</v>
      </c>
      <c r="H10">
        <f>H$8-H$8*'Historical responsibility T'!$M$116*($A10-$A$8)</f>
        <v>37.023650811354948</v>
      </c>
    </row>
    <row r="11" spans="1:8">
      <c r="A11">
        <v>2024</v>
      </c>
      <c r="C11">
        <f>C$8-C$8*'Historical responsibility T'!$M$118*($A11-$A$8)</f>
        <v>26.595297936845327</v>
      </c>
      <c r="D11">
        <f>D$8-D$8*'Historical responsibility T'!$M$117*($A11-$A$8)</f>
        <v>35.317465139034368</v>
      </c>
      <c r="E11">
        <f>E$8-E$8*'Historical responsibility T'!$M$113*($A11-$A$8)</f>
        <v>22.472712884108049</v>
      </c>
      <c r="F11">
        <f>F$8-F$8*'Historical responsibility T'!$M$114*($A11-$A$8)</f>
        <v>32.984106762670876</v>
      </c>
      <c r="G11">
        <f>G$8-G$8*'Historical responsibility T'!$M$115*($A11-$A$8)</f>
        <v>35.131340500179924</v>
      </c>
      <c r="H11">
        <f>H$8-H$8*'Historical responsibility T'!$M$116*($A11-$A$8)</f>
        <v>35.802825910931247</v>
      </c>
    </row>
    <row r="12" spans="1:8">
      <c r="A12">
        <v>2025</v>
      </c>
      <c r="C12">
        <f>C$8-C$8*'Historical responsibility T'!$M$118*($A12-$A$8)</f>
        <v>22.305297045059653</v>
      </c>
      <c r="D12">
        <f>D$8-D$8*'Historical responsibility T'!$M$117*($A12-$A$8)</f>
        <v>33.934853314645039</v>
      </c>
      <c r="E12">
        <f>E$8-E$8*'Historical responsibility T'!$M$113*($A12-$A$8)</f>
        <v>16.808516974743281</v>
      </c>
      <c r="F12">
        <f>F$8-F$8*'Historical responsibility T'!$M$114*($A12-$A$8)</f>
        <v>30.823708812827057</v>
      </c>
      <c r="G12">
        <f>G$8-G$8*'Historical responsibility T'!$M$115*($A12-$A$8)</f>
        <v>33.686687129505785</v>
      </c>
      <c r="H12">
        <f>H$8-H$8*'Historical responsibility T'!$M$116*($A12-$A$8)</f>
        <v>34.582001010507547</v>
      </c>
    </row>
    <row r="13" spans="1:8">
      <c r="A13">
        <v>2026</v>
      </c>
      <c r="C13">
        <f>C$8-C$8*'Historical responsibility T'!$M$118*($A13-$A$8)</f>
        <v>18.015296153273979</v>
      </c>
      <c r="D13">
        <f>D$8-D$8*'Historical responsibility T'!$M$117*($A13-$A$8)</f>
        <v>32.55224149025571</v>
      </c>
      <c r="E13">
        <f>E$8-E$8*'Historical responsibility T'!$M$113*($A13-$A$8)</f>
        <v>11.144321065378513</v>
      </c>
      <c r="F13">
        <f>F$8-F$8*'Historical responsibility T'!$M$114*($A13-$A$8)</f>
        <v>28.663310862983234</v>
      </c>
      <c r="G13">
        <f>G$8-G$8*'Historical responsibility T'!$M$115*($A13-$A$8)</f>
        <v>32.242033758831639</v>
      </c>
      <c r="H13">
        <f>H$8-H$8*'Historical responsibility T'!$M$116*($A13-$A$8)</f>
        <v>33.361176110083846</v>
      </c>
    </row>
    <row r="14" spans="1:8">
      <c r="A14">
        <v>2027</v>
      </c>
      <c r="C14">
        <f>C$8-C$8*'Historical responsibility T'!$M$118*($A14-$A$8)</f>
        <v>13.725295261488306</v>
      </c>
      <c r="D14">
        <f>D$8-D$8*'Historical responsibility T'!$M$117*($A14-$A$8)</f>
        <v>31.169629665866381</v>
      </c>
      <c r="E14">
        <f>E$8-E$8*'Historical responsibility T'!$M$113*($A14-$A$8)</f>
        <v>5.4801251560137487</v>
      </c>
      <c r="F14">
        <f>F$8-F$8*'Historical responsibility T'!$M$114*($A14-$A$8)</f>
        <v>26.502912913139411</v>
      </c>
      <c r="G14">
        <f>G$8-G$8*'Historical responsibility T'!$M$115*($A14-$A$8)</f>
        <v>30.797380388157499</v>
      </c>
      <c r="H14">
        <f>H$8-H$8*'Historical responsibility T'!$M$116*($A14-$A$8)</f>
        <v>32.140351209660139</v>
      </c>
    </row>
    <row r="15" spans="1:8">
      <c r="A15">
        <v>2028</v>
      </c>
      <c r="C15">
        <f>C$8-C$8*'Historical responsibility T'!$M$118*($A15-$A$8)</f>
        <v>9.4352943697026319</v>
      </c>
      <c r="D15">
        <f>D$8-D$8*'Historical responsibility T'!$M$117*($A15-$A$8)</f>
        <v>29.787017841477052</v>
      </c>
      <c r="E15">
        <f>E$8-E$8*'Historical responsibility T'!$M$113*($A15-$A$8)</f>
        <v>-0.18407075335102263</v>
      </c>
      <c r="F15">
        <f>F$8-F$8*'Historical responsibility T'!$M$114*($A15-$A$8)</f>
        <v>24.342514963295589</v>
      </c>
      <c r="G15">
        <f>G$8-G$8*'Historical responsibility T'!$M$115*($A15-$A$8)</f>
        <v>29.352727017483357</v>
      </c>
      <c r="H15">
        <f>H$8-H$8*'Historical responsibility T'!$M$116*($A15-$A$8)</f>
        <v>30.919526309236439</v>
      </c>
    </row>
    <row r="16" spans="1:8">
      <c r="A16">
        <v>2029</v>
      </c>
      <c r="C16">
        <f>C$8-C$8*'Historical responsibility T'!$M$118*($A16-$A$8)</f>
        <v>5.1452934779169581</v>
      </c>
      <c r="D16">
        <f>D$8-D$8*'Historical responsibility T'!$M$117*($A16-$A$8)</f>
        <v>28.404406017087723</v>
      </c>
      <c r="E16">
        <f>E$8-E$8*'Historical responsibility T'!$M$113*($A16-$A$8)</f>
        <v>-5.8482666627157869</v>
      </c>
      <c r="F16">
        <f>F$8-F$8*'Historical responsibility T'!$M$114*($A16-$A$8)</f>
        <v>22.182117013451766</v>
      </c>
      <c r="G16">
        <f>G$8-G$8*'Historical responsibility T'!$M$115*($A16-$A$8)</f>
        <v>27.908073646809214</v>
      </c>
      <c r="H16">
        <f>H$8-H$8*'Historical responsibility T'!$M$116*($A16-$A$8)</f>
        <v>29.698701408812738</v>
      </c>
    </row>
    <row r="17" spans="1:8">
      <c r="A17">
        <v>2030</v>
      </c>
      <c r="C17">
        <f>C$8-C$8*'Historical responsibility T'!$M$118*($A17-$A$8)</f>
        <v>0.85529258613128434</v>
      </c>
      <c r="D17">
        <f>D$8-D$8*'Historical responsibility T'!$M$117*($A17-$A$8)</f>
        <v>27.021794192698398</v>
      </c>
      <c r="F17">
        <f>F$8-F$8*'Historical responsibility T'!$M$114*($A17-$A$8)</f>
        <v>20.021719063607943</v>
      </c>
      <c r="G17">
        <f>G$8-G$8*'Historical responsibility T'!$M$115*($A17-$A$8)</f>
        <v>26.463420276135071</v>
      </c>
      <c r="H17">
        <f>H$8-H$8*'Historical responsibility T'!$M$116*($A17-$A$8)</f>
        <v>28.477876508389038</v>
      </c>
    </row>
    <row r="18" spans="1:8">
      <c r="A18">
        <v>2031</v>
      </c>
      <c r="C18">
        <f>C$8-C$8*'Historical responsibility T'!$M$118*($A18-$A$8)</f>
        <v>-3.4347083056543894</v>
      </c>
      <c r="D18">
        <f>D$8-D$8*'Historical responsibility T'!$M$117*($A18-$A$8)</f>
        <v>25.639182368309068</v>
      </c>
      <c r="F18">
        <f>F$8-F$8*'Historical responsibility T'!$M$114*($A18-$A$8)</f>
        <v>17.86132111376412</v>
      </c>
      <c r="G18">
        <f>G$8-G$8*'Historical responsibility T'!$M$115*($A18-$A$8)</f>
        <v>25.018766905460929</v>
      </c>
      <c r="H18">
        <f>H$8-H$8*'Historical responsibility T'!$M$116*($A18-$A$8)</f>
        <v>27.257051607965337</v>
      </c>
    </row>
    <row r="19" spans="1:8">
      <c r="A19">
        <v>2032</v>
      </c>
      <c r="D19">
        <f>D$8-D$8*'Historical responsibility T'!$M$117*($A19-$A$8)</f>
        <v>24.256570543919743</v>
      </c>
      <c r="F19">
        <f>F$8-F$8*'Historical responsibility T'!$M$114*($A19-$A$8)</f>
        <v>15.700923163920297</v>
      </c>
      <c r="G19">
        <f>G$8-G$8*'Historical responsibility T'!$M$115*($A19-$A$8)</f>
        <v>23.57411353478679</v>
      </c>
      <c r="H19">
        <f>H$8-H$8*'Historical responsibility T'!$M$116*($A19-$A$8)</f>
        <v>26.036226707541637</v>
      </c>
    </row>
    <row r="20" spans="1:8">
      <c r="A20">
        <v>2033</v>
      </c>
      <c r="D20">
        <f>D$8-D$8*'Historical responsibility T'!$M$117*($A20-$A$8)</f>
        <v>22.873958719530414</v>
      </c>
      <c r="F20">
        <f>F$8-F$8*'Historical responsibility T'!$M$114*($A20-$A$8)</f>
        <v>13.540525214076474</v>
      </c>
      <c r="G20">
        <f>G$8-G$8*'Historical responsibility T'!$M$115*($A20-$A$8)</f>
        <v>22.129460164112647</v>
      </c>
      <c r="H20">
        <f>H$8-H$8*'Historical responsibility T'!$M$116*($A20-$A$8)</f>
        <v>24.815401807117937</v>
      </c>
    </row>
    <row r="21" spans="1:8">
      <c r="A21">
        <v>2034</v>
      </c>
      <c r="D21">
        <f>D$8-D$8*'Historical responsibility T'!$M$117*($A21-$A$8)</f>
        <v>21.491346895141085</v>
      </c>
      <c r="F21">
        <f>F$8-F$8*'Historical responsibility T'!$M$114*($A21-$A$8)</f>
        <v>11.380127264232652</v>
      </c>
      <c r="G21">
        <f>G$8-G$8*'Historical responsibility T'!$M$115*($A21-$A$8)</f>
        <v>20.684806793438504</v>
      </c>
      <c r="H21">
        <f>H$8-H$8*'Historical responsibility T'!$M$116*($A21-$A$8)</f>
        <v>23.594576906694236</v>
      </c>
    </row>
    <row r="22" spans="1:8">
      <c r="A22">
        <v>2035</v>
      </c>
      <c r="D22">
        <f>D$8-D$8*'Historical responsibility T'!$M$117*($A22-$A$8)</f>
        <v>20.108735070751756</v>
      </c>
      <c r="F22">
        <f>F$8-F$8*'Historical responsibility T'!$M$114*($A22-$A$8)</f>
        <v>9.2197293143888288</v>
      </c>
      <c r="G22">
        <f>G$8-G$8*'Historical responsibility T'!$M$115*($A22-$A$8)</f>
        <v>19.240153422764365</v>
      </c>
      <c r="H22">
        <f>H$8-H$8*'Historical responsibility T'!$M$116*($A22-$A$8)</f>
        <v>22.373752006270532</v>
      </c>
    </row>
    <row r="23" spans="1:8">
      <c r="A23">
        <v>2036</v>
      </c>
      <c r="D23">
        <f>D$8-D$8*'Historical responsibility T'!$M$117*($A23-$A$8)</f>
        <v>18.72612324636243</v>
      </c>
      <c r="F23">
        <f>F$8-F$8*'Historical responsibility T'!$M$114*($A23-$A$8)</f>
        <v>7.0593313645450095</v>
      </c>
      <c r="G23">
        <f>G$8-G$8*'Historical responsibility T'!$M$115*($A23-$A$8)</f>
        <v>17.795500052090222</v>
      </c>
      <c r="H23">
        <f>H$8-H$8*'Historical responsibility T'!$M$116*($A23-$A$8)</f>
        <v>21.152927105846832</v>
      </c>
    </row>
    <row r="24" spans="1:8">
      <c r="A24">
        <v>2037</v>
      </c>
      <c r="D24">
        <f>D$8-D$8*'Historical responsibility T'!$M$117*($A24-$A$8)</f>
        <v>17.343511421973101</v>
      </c>
      <c r="F24">
        <f>F$8-F$8*'Historical responsibility T'!$M$114*($A24-$A$8)</f>
        <v>4.8989334147011832</v>
      </c>
      <c r="G24">
        <f>G$8-G$8*'Historical responsibility T'!$M$115*($A24-$A$8)</f>
        <v>16.35084668141608</v>
      </c>
      <c r="H24">
        <f>H$8-H$8*'Historical responsibility T'!$M$116*($A24-$A$8)</f>
        <v>19.932102205423131</v>
      </c>
    </row>
    <row r="25" spans="1:8">
      <c r="A25">
        <v>2038</v>
      </c>
      <c r="D25">
        <f>D$8-D$8*'Historical responsibility T'!$M$117*($A25-$A$8)</f>
        <v>15.960899597583772</v>
      </c>
      <c r="F25">
        <f>F$8-F$8*'Historical responsibility T'!$M$114*($A25-$A$8)</f>
        <v>2.7385354648573568</v>
      </c>
      <c r="G25">
        <f>G$8-G$8*'Historical responsibility T'!$M$115*($A25-$A$8)</f>
        <v>14.906193310741937</v>
      </c>
      <c r="H25">
        <f>H$8-H$8*'Historical responsibility T'!$M$116*($A25-$A$8)</f>
        <v>18.711277304999431</v>
      </c>
    </row>
    <row r="26" spans="1:8">
      <c r="A26">
        <v>2039</v>
      </c>
      <c r="D26">
        <f>D$8-D$8*'Historical responsibility T'!$M$117*($A26-$A$8)</f>
        <v>14.578287773194447</v>
      </c>
      <c r="F26">
        <f>F$8-F$8*'Historical responsibility T'!$M$114*($A26-$A$8)</f>
        <v>0.5781375150135375</v>
      </c>
      <c r="G26">
        <f>G$8-G$8*'Historical responsibility T'!$M$115*($A26-$A$8)</f>
        <v>13.461539940067794</v>
      </c>
      <c r="H26">
        <f>H$8-H$8*'Historical responsibility T'!$M$116*($A26-$A$8)</f>
        <v>17.490452404575731</v>
      </c>
    </row>
    <row r="27" spans="1:8">
      <c r="A27">
        <v>2040</v>
      </c>
      <c r="D27">
        <f>D$8-D$8*'Historical responsibility T'!$M$117*($A27-$A$8)</f>
        <v>13.195675948805118</v>
      </c>
      <c r="F27">
        <f>F$8-F$8*'Historical responsibility T'!$M$114*($A27-$A$8)</f>
        <v>-1.5822604348302818</v>
      </c>
      <c r="G27">
        <f>G$8-G$8*'Historical responsibility T'!$M$115*($A27-$A$8)</f>
        <v>12.016886569393655</v>
      </c>
      <c r="H27">
        <f>H$8-H$8*'Historical responsibility T'!$M$116*($A27-$A$8)</f>
        <v>16.269627504152027</v>
      </c>
    </row>
    <row r="28" spans="1:8">
      <c r="A28">
        <v>2041</v>
      </c>
      <c r="D28">
        <f>D$8-D$8*'Historical responsibility T'!$M$117*($A28-$A$8)</f>
        <v>11.813064124415789</v>
      </c>
      <c r="G28">
        <f>G$8-G$8*'Historical responsibility T'!$M$115*($A28-$A$8)</f>
        <v>10.572233198719513</v>
      </c>
      <c r="H28">
        <f>H$8-H$8*'Historical responsibility T'!$M$116*($A28-$A$8)</f>
        <v>15.048802603728326</v>
      </c>
    </row>
    <row r="29" spans="1:8">
      <c r="A29">
        <v>2042</v>
      </c>
      <c r="D29">
        <f>D$8-D$8*'Historical responsibility T'!$M$117*($A29-$A$8)</f>
        <v>10.430452300026463</v>
      </c>
      <c r="G29">
        <f>G$8-G$8*'Historical responsibility T'!$M$115*($A29-$A$8)</f>
        <v>9.1275798280453699</v>
      </c>
      <c r="H29">
        <f>H$8-H$8*'Historical responsibility T'!$M$116*($A29-$A$8)</f>
        <v>13.827977703304626</v>
      </c>
    </row>
    <row r="30" spans="1:8">
      <c r="A30">
        <v>2043</v>
      </c>
      <c r="D30">
        <f>D$8-D$8*'Historical responsibility T'!$M$117*($A30-$A$8)</f>
        <v>9.047840475637134</v>
      </c>
      <c r="G30">
        <f>G$8-G$8*'Historical responsibility T'!$M$115*($A30-$A$8)</f>
        <v>7.6829264573712308</v>
      </c>
      <c r="H30">
        <f>H$8-H$8*'Historical responsibility T'!$M$116*($A30-$A$8)</f>
        <v>12.607152802880925</v>
      </c>
    </row>
    <row r="31" spans="1:8">
      <c r="A31">
        <v>2044</v>
      </c>
      <c r="D31">
        <f>D$8-D$8*'Historical responsibility T'!$M$117*($A31-$A$8)</f>
        <v>7.6652286512478049</v>
      </c>
      <c r="G31">
        <f>G$8-G$8*'Historical responsibility T'!$M$115*($A31-$A$8)</f>
        <v>6.2382730866970846</v>
      </c>
      <c r="H31">
        <f>H$8-H$8*'Historical responsibility T'!$M$116*($A31-$A$8)</f>
        <v>11.386327902457225</v>
      </c>
    </row>
    <row r="32" spans="1:8">
      <c r="A32">
        <v>2045</v>
      </c>
      <c r="D32">
        <f>D$8-D$8*'Historical responsibility T'!$M$117*($A32-$A$8)</f>
        <v>6.2826168268584794</v>
      </c>
      <c r="G32">
        <f>G$8-G$8*'Historical responsibility T'!$M$115*($A32-$A$8)</f>
        <v>4.7936197160229455</v>
      </c>
      <c r="H32">
        <f>H$8-H$8*'Historical responsibility T'!$M$116*($A32-$A$8)</f>
        <v>10.165503002033525</v>
      </c>
    </row>
    <row r="33" spans="1:8">
      <c r="A33">
        <v>2046</v>
      </c>
      <c r="D33">
        <f>D$8-D$8*'Historical responsibility T'!$M$117*($A33-$A$8)</f>
        <v>4.9000050024691504</v>
      </c>
      <c r="G33">
        <f>G$8-G$8*'Historical responsibility T'!$M$115*($A33-$A$8)</f>
        <v>3.3489663453488063</v>
      </c>
      <c r="H33">
        <f>H$8-H$8*'Historical responsibility T'!$M$116*($A33-$A$8)</f>
        <v>8.9446781016098207</v>
      </c>
    </row>
    <row r="34" spans="1:8">
      <c r="A34">
        <v>2047</v>
      </c>
      <c r="D34">
        <f>D$8-D$8*'Historical responsibility T'!$M$117*($A34-$A$8)</f>
        <v>3.5173931780798213</v>
      </c>
      <c r="G34">
        <f>G$8-G$8*'Historical responsibility T'!$M$115*($A34-$A$8)</f>
        <v>1.9043129746746601</v>
      </c>
      <c r="H34">
        <f>H$8-H$8*'Historical responsibility T'!$M$116*($A34-$A$8)</f>
        <v>7.7238532011861203</v>
      </c>
    </row>
    <row r="35" spans="1:8">
      <c r="A35">
        <v>2048</v>
      </c>
      <c r="D35">
        <f>D$8-D$8*'Historical responsibility T'!$M$117*($A35-$A$8)</f>
        <v>2.1347813536904923</v>
      </c>
      <c r="G35">
        <f>G$8-G$8*'Historical responsibility T'!$M$115*($A35-$A$8)</f>
        <v>0.45965960400052097</v>
      </c>
      <c r="H35">
        <f>H$8-H$8*'Historical responsibility T'!$M$116*($A35-$A$8)</f>
        <v>6.5030283007624163</v>
      </c>
    </row>
    <row r="36" spans="1:8">
      <c r="A36">
        <v>2049</v>
      </c>
      <c r="D36">
        <f>D$8-D$8*'Historical responsibility T'!$M$117*($A36-$A$8)</f>
        <v>0.75216952930116321</v>
      </c>
      <c r="G36">
        <f>G$8-G$8*'Historical responsibility T'!$M$115*($A36-$A$8)</f>
        <v>-0.98499376667361815</v>
      </c>
      <c r="H36">
        <f>H$8-H$8*'Historical responsibility T'!$M$116*($A36-$A$8)</f>
        <v>5.2822034003387159</v>
      </c>
    </row>
    <row r="37" spans="1:8">
      <c r="A37">
        <v>2050</v>
      </c>
      <c r="D37">
        <f>D$8-D$8*'Historical responsibility T'!$M$117*($A37-$A$8)</f>
        <v>-0.63044229508815874</v>
      </c>
      <c r="G37">
        <f>G$8-G$8*'Historical responsibility T'!$M$115*($A37-$A$8)</f>
        <v>-2.4296471373477644</v>
      </c>
      <c r="H37">
        <f>H$8-H$8*'Historical responsibility T'!$M$116*($A37-$A$8)</f>
        <v>4.0613784999150155</v>
      </c>
    </row>
    <row r="38" spans="1:8">
      <c r="A38">
        <v>2051</v>
      </c>
      <c r="D38">
        <f>D$8-D$8*'Historical responsibility T'!$M$117*($A38-$A$8)</f>
        <v>-2.0130541194774878</v>
      </c>
      <c r="H38">
        <f>H$8-H$8*'Historical responsibility T'!$M$116*($A38-$A$8)</f>
        <v>2.8405535994913151</v>
      </c>
    </row>
    <row r="39" spans="1:8">
      <c r="A39">
        <v>2052</v>
      </c>
      <c r="H39">
        <f>H$8-H$8*'Historical responsibility T'!$M$116*($A39-$A$8)</f>
        <v>1.6197286990676147</v>
      </c>
    </row>
    <row r="40" spans="1:8">
      <c r="A40">
        <v>2053</v>
      </c>
      <c r="H40">
        <f>H$8-H$8*'Historical responsibility T'!$M$116*($A40-$A$8)</f>
        <v>0.39890379864391434</v>
      </c>
    </row>
    <row r="41" spans="1:8">
      <c r="A41">
        <v>2054</v>
      </c>
      <c r="H41">
        <f>H$8-H$8*'Historical responsibility T'!$M$116*($A41-$A$8)</f>
        <v>-0.82192110177978606</v>
      </c>
    </row>
    <row r="42" spans="1:8">
      <c r="A42">
        <v>2055</v>
      </c>
      <c r="H42">
        <f>H$8-H$8*'Historical responsibility T'!$M$116*($A42-$A$8)</f>
        <v>-2.0427460022034865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FAB5-09DA-0B46-831C-AA9C63F14A8E}">
  <dimension ref="A2:X279"/>
  <sheetViews>
    <sheetView topLeftCell="A64" workbookViewId="0">
      <selection activeCell="E77" sqref="E77"/>
    </sheetView>
  </sheetViews>
  <sheetFormatPr baseColWidth="10" defaultColWidth="8.83203125" defaultRowHeight="15"/>
  <cols>
    <col min="2" max="2" width="24.1640625" customWidth="1"/>
    <col min="4" max="4" width="14.1640625" customWidth="1"/>
    <col min="5" max="5" width="11" customWidth="1"/>
    <col min="6" max="6" width="27" customWidth="1"/>
    <col min="7" max="7" width="24.5" customWidth="1"/>
    <col min="9" max="9" width="12.1640625" customWidth="1"/>
    <col min="10" max="10" width="13.33203125" customWidth="1"/>
    <col min="11" max="11" width="14.1640625" customWidth="1"/>
    <col min="12" max="12" width="10.5" customWidth="1"/>
    <col min="13" max="13" width="33.1640625" bestFit="1" customWidth="1"/>
    <col min="14" max="14" width="63.5" customWidth="1"/>
    <col min="15" max="15" width="20.83203125" bestFit="1" customWidth="1"/>
    <col min="16" max="16" width="21.1640625" customWidth="1"/>
    <col min="17" max="17" width="11.83203125" customWidth="1"/>
    <col min="18" max="18" width="13.6640625" bestFit="1" customWidth="1"/>
    <col min="19" max="19" width="12.33203125" customWidth="1"/>
    <col min="21" max="21" width="12.33203125" customWidth="1"/>
    <col min="22" max="23" width="10" bestFit="1" customWidth="1"/>
  </cols>
  <sheetData>
    <row r="2" spans="1:17" ht="64">
      <c r="M2" s="28" t="s">
        <v>24</v>
      </c>
      <c r="N2" s="27" t="s">
        <v>60</v>
      </c>
      <c r="O2" s="26" t="s">
        <v>32</v>
      </c>
      <c r="P2" s="25" t="s">
        <v>44</v>
      </c>
    </row>
    <row r="3" spans="1:17" ht="31" customHeight="1">
      <c r="B3" s="20" t="s">
        <v>89</v>
      </c>
      <c r="D3" t="s">
        <v>0</v>
      </c>
      <c r="E3" t="s">
        <v>18</v>
      </c>
      <c r="F3" s="20" t="s">
        <v>76</v>
      </c>
      <c r="G3" s="52" t="s">
        <v>75</v>
      </c>
      <c r="H3" s="1"/>
      <c r="I3" s="2"/>
      <c r="K3" s="20" t="s">
        <v>22</v>
      </c>
      <c r="L3" s="20" t="s">
        <v>23</v>
      </c>
      <c r="M3" t="s">
        <v>58</v>
      </c>
      <c r="N3" t="s">
        <v>59</v>
      </c>
      <c r="O3" t="s">
        <v>3</v>
      </c>
      <c r="P3" t="s">
        <v>73</v>
      </c>
      <c r="Q3" t="s">
        <v>74</v>
      </c>
    </row>
    <row r="4" spans="1:17" ht="16">
      <c r="B4" t="s">
        <v>11</v>
      </c>
      <c r="C4" t="s">
        <v>12</v>
      </c>
      <c r="E4" t="s">
        <v>13</v>
      </c>
      <c r="F4" t="s">
        <v>12</v>
      </c>
      <c r="G4" t="s">
        <v>12</v>
      </c>
      <c r="H4" s="2"/>
      <c r="I4" s="2"/>
      <c r="K4" t="s">
        <v>53</v>
      </c>
      <c r="L4" t="s">
        <v>53</v>
      </c>
      <c r="M4" t="s">
        <v>53</v>
      </c>
      <c r="O4" t="s">
        <v>14</v>
      </c>
      <c r="P4" t="s">
        <v>13</v>
      </c>
      <c r="Q4" t="s">
        <v>13</v>
      </c>
    </row>
    <row r="5" spans="1:17" s="46" customFormat="1" ht="16">
      <c r="A5" s="33">
        <v>1990</v>
      </c>
      <c r="B5" s="34">
        <v>23.193253552567299</v>
      </c>
      <c r="C5" s="35">
        <f>B5*44/12</f>
        <v>85.041929692746763</v>
      </c>
      <c r="D5" s="36">
        <v>8590630</v>
      </c>
      <c r="E5" s="35">
        <f>C5*1000000/D5</f>
        <v>9.8993821981329368</v>
      </c>
      <c r="F5" s="35">
        <f t="shared" ref="F5:F36" si="0">D5*P5/1000000</f>
        <v>43.809653099961935</v>
      </c>
      <c r="G5" s="35">
        <f>D5*Q5/1000000</f>
        <v>43.809653099961935</v>
      </c>
      <c r="H5" s="38"/>
      <c r="I5" s="38"/>
      <c r="J5" s="33">
        <v>1990</v>
      </c>
      <c r="K5" s="39">
        <v>6.20696711067073</v>
      </c>
      <c r="L5" s="39">
        <v>1.17335641256856</v>
      </c>
      <c r="M5" s="40">
        <f t="shared" ref="M5:M34" si="1">L5+K5</f>
        <v>7.3803235232392899</v>
      </c>
      <c r="N5" s="48">
        <f>M5</f>
        <v>7.3803235232392899</v>
      </c>
      <c r="O5" s="45">
        <v>5306.4250000000002</v>
      </c>
      <c r="P5" s="40">
        <f t="shared" ref="P5:P36" si="2">M5*1000000000*44/12*1/(O5*1000000)</f>
        <v>5.0997020125371408</v>
      </c>
      <c r="Q5" s="40">
        <f>N5*1000000000*44/12*1/(O5*1000000)</f>
        <v>5.0997020125371408</v>
      </c>
    </row>
    <row r="6" spans="1:17" ht="16">
      <c r="A6" s="3">
        <v>1991</v>
      </c>
      <c r="B6" s="21">
        <v>22.955045776587799</v>
      </c>
      <c r="C6" s="13">
        <f t="shared" ref="C6:C34" si="3">B6*44/12</f>
        <v>84.168501180821934</v>
      </c>
      <c r="D6" s="24">
        <v>8644119</v>
      </c>
      <c r="E6" s="13">
        <f t="shared" ref="E6:E34" si="4">C6*1000000/D6</f>
        <v>9.737082654787832</v>
      </c>
      <c r="F6" s="13">
        <f t="shared" si="0"/>
        <v>44.03993276437987</v>
      </c>
      <c r="G6" s="13">
        <f>D6*Q6/1000000</f>
        <v>44.03993276437987</v>
      </c>
      <c r="H6" s="2"/>
      <c r="I6" s="2"/>
      <c r="J6" s="3">
        <v>1991</v>
      </c>
      <c r="K6" s="22">
        <v>6.3402868787719502</v>
      </c>
      <c r="L6" s="22">
        <v>1.1495867552065699</v>
      </c>
      <c r="M6" s="12">
        <f t="shared" si="1"/>
        <v>7.4898736339785206</v>
      </c>
      <c r="N6" s="49">
        <f t="shared" ref="N6:N35" si="5">M6</f>
        <v>7.4898736339785206</v>
      </c>
      <c r="O6" s="18">
        <v>5390.3878000000004</v>
      </c>
      <c r="P6" s="12">
        <f t="shared" si="2"/>
        <v>5.0947855720611743</v>
      </c>
      <c r="Q6" s="12">
        <f t="shared" ref="Q6:Q65" si="6">N6*1000000000*44/12*1/(O6*1000000)</f>
        <v>5.0947855720611743</v>
      </c>
    </row>
    <row r="7" spans="1:17" ht="16">
      <c r="A7" s="3">
        <v>1992</v>
      </c>
      <c r="B7" s="21">
        <v>25.4042368427606</v>
      </c>
      <c r="C7" s="13">
        <f t="shared" si="3"/>
        <v>93.148868423455539</v>
      </c>
      <c r="D7" s="24">
        <v>8692013</v>
      </c>
      <c r="E7" s="13">
        <f t="shared" si="4"/>
        <v>10.716604821398166</v>
      </c>
      <c r="F7" s="13">
        <f t="shared" si="0"/>
        <v>42.826556618789198</v>
      </c>
      <c r="G7" s="13">
        <f>D7*Q7/1000000</f>
        <v>42.826556618789198</v>
      </c>
      <c r="H7" s="2"/>
      <c r="I7" s="2"/>
      <c r="J7" s="3">
        <v>1992</v>
      </c>
      <c r="K7" s="22">
        <v>6.1576275920495398</v>
      </c>
      <c r="L7" s="22">
        <v>1.1985798487355499</v>
      </c>
      <c r="M7" s="12">
        <f t="shared" si="1"/>
        <v>7.3562074407850897</v>
      </c>
      <c r="N7" s="50">
        <f t="shared" si="5"/>
        <v>7.3562074407850897</v>
      </c>
      <c r="O7" s="18">
        <v>5474.3506000000007</v>
      </c>
      <c r="P7" s="12">
        <f t="shared" si="2"/>
        <v>4.9271160338565068</v>
      </c>
      <c r="Q7" s="12">
        <f t="shared" si="6"/>
        <v>4.9271160338565068</v>
      </c>
    </row>
    <row r="8" spans="1:17" ht="16">
      <c r="A8" s="3">
        <v>1993</v>
      </c>
      <c r="B8" s="21">
        <v>23.6029826060904</v>
      </c>
      <c r="C8" s="13">
        <f t="shared" si="3"/>
        <v>86.544269555664798</v>
      </c>
      <c r="D8" s="24">
        <v>8745109</v>
      </c>
      <c r="E8" s="13">
        <f t="shared" si="4"/>
        <v>9.8963054154802172</v>
      </c>
      <c r="F8" s="13">
        <f t="shared" si="0"/>
        <v>42.650127526000468</v>
      </c>
      <c r="G8" s="13">
        <f t="shared" ref="G8:G65" si="7">D8*Q8/1000000</f>
        <v>42.650127526000468</v>
      </c>
      <c r="H8" s="2"/>
      <c r="I8" s="2"/>
      <c r="J8" s="3">
        <v>1993</v>
      </c>
      <c r="K8" s="22">
        <v>6.22137946392934</v>
      </c>
      <c r="L8" s="22">
        <v>1.1717226899138899</v>
      </c>
      <c r="M8" s="12">
        <f t="shared" si="1"/>
        <v>7.3931021538432304</v>
      </c>
      <c r="N8" s="50">
        <f t="shared" si="5"/>
        <v>7.3931021538432304</v>
      </c>
      <c r="O8" s="18">
        <v>5558.3134000000009</v>
      </c>
      <c r="P8" s="12">
        <f t="shared" si="2"/>
        <v>4.8770264071037275</v>
      </c>
      <c r="Q8" s="12">
        <f t="shared" si="6"/>
        <v>4.8770264071037275</v>
      </c>
    </row>
    <row r="9" spans="1:17" ht="16">
      <c r="A9" s="3">
        <v>1994</v>
      </c>
      <c r="B9" s="21">
        <v>23.384994306612501</v>
      </c>
      <c r="C9" s="13">
        <f t="shared" si="3"/>
        <v>85.744979124245845</v>
      </c>
      <c r="D9" s="24">
        <v>8816381</v>
      </c>
      <c r="E9" s="13">
        <f t="shared" si="4"/>
        <v>9.7256435632994798</v>
      </c>
      <c r="F9" s="13">
        <f t="shared" si="0"/>
        <v>43.425940182300501</v>
      </c>
      <c r="G9" s="13">
        <f t="shared" si="7"/>
        <v>43.425940182300501</v>
      </c>
      <c r="H9" s="2"/>
      <c r="I9" s="2"/>
      <c r="J9" s="3">
        <v>1994</v>
      </c>
      <c r="K9" s="22">
        <v>6.2654061901060398</v>
      </c>
      <c r="L9" s="22">
        <v>1.3141153459946</v>
      </c>
      <c r="M9" s="12">
        <f t="shared" si="1"/>
        <v>7.5795215361006401</v>
      </c>
      <c r="N9" s="50">
        <f t="shared" si="5"/>
        <v>7.5795215361006401</v>
      </c>
      <c r="O9" s="18">
        <v>5642.2762000000012</v>
      </c>
      <c r="P9" s="12">
        <f t="shared" si="2"/>
        <v>4.9255970428569844</v>
      </c>
      <c r="Q9" s="12">
        <f t="shared" si="6"/>
        <v>4.9255970428569844</v>
      </c>
    </row>
    <row r="10" spans="1:17" ht="16">
      <c r="A10" s="3">
        <v>1995</v>
      </c>
      <c r="B10" s="21">
        <v>23.1192413811516</v>
      </c>
      <c r="C10" s="13">
        <f t="shared" si="3"/>
        <v>84.770551730889196</v>
      </c>
      <c r="D10" s="24">
        <v>8837496</v>
      </c>
      <c r="E10" s="13">
        <f t="shared" si="4"/>
        <v>9.592145980138401</v>
      </c>
      <c r="F10" s="13">
        <f t="shared" si="0"/>
        <v>43.571924214667966</v>
      </c>
      <c r="G10" s="13">
        <f t="shared" si="7"/>
        <v>43.571924214667966</v>
      </c>
      <c r="H10" s="2"/>
      <c r="I10" s="2"/>
      <c r="J10" s="3">
        <v>1995</v>
      </c>
      <c r="K10" s="22">
        <v>6.3989097255219001</v>
      </c>
      <c r="L10" s="22">
        <v>1.3008212146081199</v>
      </c>
      <c r="M10" s="12">
        <f t="shared" si="1"/>
        <v>7.6997309401300198</v>
      </c>
      <c r="N10" s="50">
        <f t="shared" si="5"/>
        <v>7.6997309401300198</v>
      </c>
      <c r="O10" s="18">
        <v>5726.2389999999996</v>
      </c>
      <c r="P10" s="12">
        <f t="shared" si="2"/>
        <v>4.9303472629201721</v>
      </c>
      <c r="Q10" s="12">
        <f t="shared" si="6"/>
        <v>4.9303472629201721</v>
      </c>
    </row>
    <row r="11" spans="1:17" ht="16">
      <c r="A11" s="3">
        <v>1996</v>
      </c>
      <c r="B11" s="21">
        <v>24.379452758474599</v>
      </c>
      <c r="C11" s="13">
        <f t="shared" si="3"/>
        <v>89.391326781073531</v>
      </c>
      <c r="D11" s="24">
        <v>8844499</v>
      </c>
      <c r="E11" s="13">
        <f t="shared" si="4"/>
        <v>10.106997217261659</v>
      </c>
      <c r="F11" s="13">
        <f t="shared" si="0"/>
        <v>44.192686996163765</v>
      </c>
      <c r="G11" s="13">
        <f t="shared" si="7"/>
        <v>44.192686996163765</v>
      </c>
      <c r="H11" s="2"/>
      <c r="I11" s="2"/>
      <c r="J11" s="3">
        <v>1996</v>
      </c>
      <c r="K11" s="22">
        <v>6.5900779454555103</v>
      </c>
      <c r="L11" s="22">
        <v>1.3212384105903401</v>
      </c>
      <c r="M11" s="12">
        <f t="shared" si="1"/>
        <v>7.9113163560458499</v>
      </c>
      <c r="N11" s="50">
        <f t="shared" si="5"/>
        <v>7.9113163560458499</v>
      </c>
      <c r="O11" s="18">
        <v>5805.5451999999996</v>
      </c>
      <c r="P11" s="12">
        <f t="shared" si="2"/>
        <v>4.9966297690987087</v>
      </c>
      <c r="Q11" s="12">
        <f t="shared" si="6"/>
        <v>4.9966297690987087</v>
      </c>
    </row>
    <row r="12" spans="1:17" ht="16">
      <c r="A12" s="3">
        <v>1997</v>
      </c>
      <c r="B12" s="21">
        <v>22.962746226357002</v>
      </c>
      <c r="C12" s="13">
        <f t="shared" si="3"/>
        <v>84.196736163309012</v>
      </c>
      <c r="D12" s="24">
        <v>8847625</v>
      </c>
      <c r="E12" s="13">
        <f t="shared" si="4"/>
        <v>9.5163093104995991</v>
      </c>
      <c r="F12" s="13">
        <f t="shared" si="0"/>
        <v>46.58923654017584</v>
      </c>
      <c r="G12" s="13">
        <f t="shared" si="7"/>
        <v>46.58923654017584</v>
      </c>
      <c r="H12" s="2"/>
      <c r="I12" s="2"/>
      <c r="J12" s="3">
        <v>1997</v>
      </c>
      <c r="K12" s="22">
        <v>6.6306988631239703</v>
      </c>
      <c r="L12" s="22">
        <v>1.82059021301644</v>
      </c>
      <c r="M12" s="12">
        <f t="shared" si="1"/>
        <v>8.4512890761404105</v>
      </c>
      <c r="N12" s="50">
        <f t="shared" si="5"/>
        <v>8.4512890761404105</v>
      </c>
      <c r="O12" s="18">
        <v>5884.8513999999996</v>
      </c>
      <c r="P12" s="12">
        <f t="shared" si="2"/>
        <v>5.2657336336221121</v>
      </c>
      <c r="Q12" s="12">
        <f t="shared" si="6"/>
        <v>5.2657336336221121</v>
      </c>
    </row>
    <row r="13" spans="1:17" ht="16">
      <c r="A13" s="3">
        <v>1998</v>
      </c>
      <c r="B13" s="21">
        <v>23.1881963014173</v>
      </c>
      <c r="C13" s="13">
        <f t="shared" si="3"/>
        <v>85.023386438530096</v>
      </c>
      <c r="D13" s="24">
        <v>8854322</v>
      </c>
      <c r="E13" s="13">
        <f t="shared" si="4"/>
        <v>9.6024728306165166</v>
      </c>
      <c r="F13" s="13">
        <f t="shared" si="0"/>
        <v>43.584268003403231</v>
      </c>
      <c r="G13" s="13">
        <f t="shared" si="7"/>
        <v>43.584268003403231</v>
      </c>
      <c r="H13" s="2"/>
      <c r="I13" s="2"/>
      <c r="J13" s="3">
        <v>1998</v>
      </c>
      <c r="K13" s="22">
        <v>6.6053586699879796</v>
      </c>
      <c r="L13" s="22">
        <v>1.40131494564395</v>
      </c>
      <c r="M13" s="12">
        <f t="shared" si="1"/>
        <v>8.0066736156319287</v>
      </c>
      <c r="N13" s="50">
        <f t="shared" si="5"/>
        <v>8.0066736156319287</v>
      </c>
      <c r="O13" s="18">
        <v>5964.1575999999995</v>
      </c>
      <c r="P13" s="12">
        <f t="shared" si="2"/>
        <v>4.9223721481332205</v>
      </c>
      <c r="Q13" s="12">
        <f t="shared" si="6"/>
        <v>4.9223721481332205</v>
      </c>
    </row>
    <row r="14" spans="1:17" ht="16">
      <c r="A14" s="3">
        <v>1999</v>
      </c>
      <c r="B14" s="21">
        <v>21.981830702662101</v>
      </c>
      <c r="C14" s="13">
        <f t="shared" si="3"/>
        <v>80.600045909761036</v>
      </c>
      <c r="D14" s="24">
        <v>8861426</v>
      </c>
      <c r="E14" s="13">
        <f t="shared" si="4"/>
        <v>9.0956067239923968</v>
      </c>
      <c r="F14" s="13">
        <f t="shared" si="0"/>
        <v>43.41577671381765</v>
      </c>
      <c r="G14" s="13">
        <f t="shared" si="7"/>
        <v>43.41577671381765</v>
      </c>
      <c r="H14" s="2"/>
      <c r="I14" s="2"/>
      <c r="J14" s="3">
        <v>1999</v>
      </c>
      <c r="K14" s="22">
        <v>6.6907376347379302</v>
      </c>
      <c r="L14" s="22">
        <v>1.38455844223987</v>
      </c>
      <c r="M14" s="12">
        <f t="shared" si="1"/>
        <v>8.0752960769777999</v>
      </c>
      <c r="N14" s="50">
        <f t="shared" si="5"/>
        <v>8.0752960769777999</v>
      </c>
      <c r="O14" s="18">
        <v>6043.4637999999995</v>
      </c>
      <c r="P14" s="12">
        <f t="shared" si="2"/>
        <v>4.899411981075918</v>
      </c>
      <c r="Q14" s="12">
        <f t="shared" si="6"/>
        <v>4.899411981075918</v>
      </c>
    </row>
    <row r="15" spans="1:17" ht="16">
      <c r="A15" s="3">
        <v>2000</v>
      </c>
      <c r="B15" s="21">
        <v>22.464073163236002</v>
      </c>
      <c r="C15" s="13">
        <f t="shared" si="3"/>
        <v>82.368268265198665</v>
      </c>
      <c r="D15" s="24">
        <v>8882792</v>
      </c>
      <c r="E15" s="13">
        <f t="shared" si="4"/>
        <v>9.2727903867611285</v>
      </c>
      <c r="F15" s="13">
        <f t="shared" si="0"/>
        <v>43.217445637131277</v>
      </c>
      <c r="G15" s="13">
        <f t="shared" si="7"/>
        <v>43.217445637131277</v>
      </c>
      <c r="H15" s="2"/>
      <c r="I15" s="2"/>
      <c r="J15" s="3">
        <v>2000</v>
      </c>
      <c r="K15" s="22">
        <v>6.8859606814941499</v>
      </c>
      <c r="L15" s="22">
        <v>1.23834240280816</v>
      </c>
      <c r="M15" s="12">
        <f t="shared" si="1"/>
        <v>8.1243030843023103</v>
      </c>
      <c r="N15" s="50">
        <f t="shared" si="5"/>
        <v>8.1243030843023103</v>
      </c>
      <c r="O15" s="18">
        <v>6122.77</v>
      </c>
      <c r="P15" s="12">
        <f t="shared" si="2"/>
        <v>4.8652997432711782</v>
      </c>
      <c r="Q15" s="12">
        <f t="shared" si="6"/>
        <v>4.8652997432711782</v>
      </c>
    </row>
    <row r="16" spans="1:17" ht="16">
      <c r="A16" s="3">
        <v>2001</v>
      </c>
      <c r="B16" s="21">
        <v>21.321408168821399</v>
      </c>
      <c r="C16" s="13">
        <f t="shared" si="3"/>
        <v>78.178496619011796</v>
      </c>
      <c r="D16" s="24">
        <v>8909128</v>
      </c>
      <c r="E16" s="13">
        <f t="shared" si="4"/>
        <v>8.7751008425304686</v>
      </c>
      <c r="F16" s="13">
        <f t="shared" si="0"/>
        <v>42.585324435760064</v>
      </c>
      <c r="G16" s="13">
        <f t="shared" si="7"/>
        <v>42.585324435760064</v>
      </c>
      <c r="H16" s="2"/>
      <c r="I16" s="2"/>
      <c r="J16" s="3">
        <v>2001</v>
      </c>
      <c r="K16" s="22">
        <v>6.9451827196521601</v>
      </c>
      <c r="L16" s="22">
        <v>1.13671228370396</v>
      </c>
      <c r="M16" s="12">
        <f t="shared" si="1"/>
        <v>8.0818950033561201</v>
      </c>
      <c r="N16" s="50">
        <f t="shared" si="5"/>
        <v>8.0818950033561201</v>
      </c>
      <c r="O16" s="18">
        <v>6199.5458000000008</v>
      </c>
      <c r="P16" s="12">
        <f t="shared" si="2"/>
        <v>4.7799654955861071</v>
      </c>
      <c r="Q16" s="12">
        <f t="shared" si="6"/>
        <v>4.7799654955861071</v>
      </c>
    </row>
    <row r="17" spans="1:17" ht="16">
      <c r="A17" s="3">
        <v>2002</v>
      </c>
      <c r="B17" s="21">
        <v>22.0218421682799</v>
      </c>
      <c r="C17" s="13">
        <f t="shared" si="3"/>
        <v>80.746754617026298</v>
      </c>
      <c r="D17" s="24">
        <v>8940788</v>
      </c>
      <c r="E17" s="13">
        <f t="shared" si="4"/>
        <v>9.0312794148598865</v>
      </c>
      <c r="F17" s="13">
        <f t="shared" si="0"/>
        <v>43.841750260085334</v>
      </c>
      <c r="G17" s="13">
        <f t="shared" si="7"/>
        <v>43.841750260085334</v>
      </c>
      <c r="H17" s="2"/>
      <c r="I17" s="2"/>
      <c r="J17" s="3">
        <v>2002</v>
      </c>
      <c r="K17" s="22">
        <v>7.1058552338813801</v>
      </c>
      <c r="L17" s="22">
        <v>1.287697919452</v>
      </c>
      <c r="M17" s="12">
        <f t="shared" si="1"/>
        <v>8.3935531533333805</v>
      </c>
      <c r="N17" s="50">
        <f t="shared" si="5"/>
        <v>8.3935531533333805</v>
      </c>
      <c r="O17" s="18">
        <v>6276.3216000000011</v>
      </c>
      <c r="P17" s="12">
        <f t="shared" si="2"/>
        <v>4.9035666945783012</v>
      </c>
      <c r="Q17" s="12">
        <f t="shared" si="6"/>
        <v>4.9035666945783012</v>
      </c>
    </row>
    <row r="18" spans="1:17" ht="16">
      <c r="A18" s="3">
        <v>2003</v>
      </c>
      <c r="B18" s="21">
        <v>23.560330746446201</v>
      </c>
      <c r="C18" s="13">
        <f t="shared" si="3"/>
        <v>86.387879403636077</v>
      </c>
      <c r="D18" s="24">
        <v>8975670</v>
      </c>
      <c r="E18" s="13">
        <f t="shared" si="4"/>
        <v>9.6246719636123075</v>
      </c>
      <c r="F18" s="13">
        <f t="shared" si="0"/>
        <v>45.8885001616107</v>
      </c>
      <c r="G18" s="13">
        <f t="shared" si="7"/>
        <v>45.8885001616107</v>
      </c>
      <c r="H18" s="2"/>
      <c r="I18" s="2"/>
      <c r="J18" s="3">
        <v>2003</v>
      </c>
      <c r="K18" s="22">
        <v>7.4682055674419496</v>
      </c>
      <c r="L18" s="22">
        <v>1.39010841002953</v>
      </c>
      <c r="M18" s="12">
        <f t="shared" si="1"/>
        <v>8.8583139774714788</v>
      </c>
      <c r="N18" s="50">
        <f t="shared" si="5"/>
        <v>8.8583139774714788</v>
      </c>
      <c r="O18" s="18">
        <v>6353.0974000000015</v>
      </c>
      <c r="P18" s="12">
        <f t="shared" si="2"/>
        <v>5.1125431484903858</v>
      </c>
      <c r="Q18" s="12">
        <f t="shared" si="6"/>
        <v>5.1125431484903858</v>
      </c>
    </row>
    <row r="19" spans="1:17" ht="16">
      <c r="A19" s="3">
        <v>2004</v>
      </c>
      <c r="B19" s="21">
        <v>23.969929774018201</v>
      </c>
      <c r="C19" s="13">
        <f t="shared" si="3"/>
        <v>87.889742504733405</v>
      </c>
      <c r="D19" s="24">
        <v>9011392</v>
      </c>
      <c r="E19" s="13">
        <f t="shared" si="4"/>
        <v>9.7531815844581384</v>
      </c>
      <c r="F19" s="13">
        <f t="shared" si="0"/>
        <v>46.564028874260863</v>
      </c>
      <c r="G19" s="13">
        <f t="shared" si="7"/>
        <v>46.564028874260863</v>
      </c>
      <c r="H19" s="2"/>
      <c r="I19" s="2"/>
      <c r="J19" s="3">
        <v>2004</v>
      </c>
      <c r="K19" s="22">
        <v>7.8122933949645299</v>
      </c>
      <c r="L19" s="22">
        <v>1.2489885914962899</v>
      </c>
      <c r="M19" s="12">
        <f t="shared" si="1"/>
        <v>9.0612819864608198</v>
      </c>
      <c r="N19" s="50">
        <f t="shared" si="5"/>
        <v>9.0612819864608198</v>
      </c>
      <c r="O19" s="18">
        <v>6429.8732000000018</v>
      </c>
      <c r="P19" s="12">
        <f t="shared" si="2"/>
        <v>5.1672404079481691</v>
      </c>
      <c r="Q19" s="12">
        <f t="shared" si="6"/>
        <v>5.1672404079481691</v>
      </c>
    </row>
    <row r="20" spans="1:17" ht="16">
      <c r="A20" s="3">
        <v>2005</v>
      </c>
      <c r="B20" s="21">
        <v>23.565920424083899</v>
      </c>
      <c r="C20" s="13">
        <f t="shared" si="3"/>
        <v>86.40837488830762</v>
      </c>
      <c r="D20" s="24">
        <v>9047752</v>
      </c>
      <c r="E20" s="13">
        <f t="shared" si="4"/>
        <v>9.5502589912176656</v>
      </c>
      <c r="F20" s="13">
        <f t="shared" si="0"/>
        <v>46.776895703245458</v>
      </c>
      <c r="G20" s="13">
        <f t="shared" si="7"/>
        <v>46.776895703245458</v>
      </c>
      <c r="H20" s="2"/>
      <c r="I20" s="2"/>
      <c r="J20" s="3">
        <v>2005</v>
      </c>
      <c r="K20" s="22">
        <v>8.0783377088778998</v>
      </c>
      <c r="L20" s="22">
        <v>1.1189718644072999</v>
      </c>
      <c r="M20" s="12">
        <f t="shared" si="1"/>
        <v>9.1973095732851995</v>
      </c>
      <c r="N20" s="50">
        <f t="shared" si="5"/>
        <v>9.1973095732851995</v>
      </c>
      <c r="O20" s="18">
        <v>6522.9120999999996</v>
      </c>
      <c r="P20" s="12">
        <f t="shared" si="2"/>
        <v>5.170001974329697</v>
      </c>
      <c r="Q20" s="12">
        <f t="shared" si="6"/>
        <v>5.170001974329697</v>
      </c>
    </row>
    <row r="21" spans="1:17" ht="16">
      <c r="A21" s="3">
        <v>2006</v>
      </c>
      <c r="B21" s="21">
        <v>24.258551711497201</v>
      </c>
      <c r="C21" s="13">
        <f t="shared" si="3"/>
        <v>88.948022942156399</v>
      </c>
      <c r="D21" s="24">
        <v>9113257</v>
      </c>
      <c r="E21" s="13">
        <f t="shared" si="4"/>
        <v>9.7602890977568624</v>
      </c>
      <c r="F21" s="13">
        <f t="shared" si="0"/>
        <v>48.626251979593782</v>
      </c>
      <c r="G21" s="13">
        <f t="shared" si="7"/>
        <v>48.626251979593782</v>
      </c>
      <c r="H21" s="2"/>
      <c r="I21" s="2"/>
      <c r="J21" s="3">
        <v>2006</v>
      </c>
      <c r="K21" s="22">
        <v>8.3459964463919096</v>
      </c>
      <c r="L21" s="22">
        <v>1.26637114567502</v>
      </c>
      <c r="M21" s="12">
        <f t="shared" si="1"/>
        <v>9.6123675920669296</v>
      </c>
      <c r="N21" s="50">
        <f t="shared" si="5"/>
        <v>9.6123675920669296</v>
      </c>
      <c r="O21" s="18">
        <v>6605.4836599999999</v>
      </c>
      <c r="P21" s="12">
        <f t="shared" si="2"/>
        <v>5.3357709520969046</v>
      </c>
      <c r="Q21" s="12">
        <f t="shared" si="6"/>
        <v>5.3357709520969046</v>
      </c>
    </row>
    <row r="22" spans="1:17" ht="16">
      <c r="A22" s="3">
        <v>2007</v>
      </c>
      <c r="B22" s="21">
        <v>24.8782773195177</v>
      </c>
      <c r="C22" s="13">
        <f t="shared" si="3"/>
        <v>91.220350171564903</v>
      </c>
      <c r="D22" s="24">
        <v>9182927</v>
      </c>
      <c r="E22" s="13">
        <f t="shared" si="4"/>
        <v>9.9336900066356737</v>
      </c>
      <c r="F22" s="13">
        <f t="shared" si="0"/>
        <v>48.828252531789119</v>
      </c>
      <c r="G22" s="13">
        <f t="shared" si="7"/>
        <v>48.828252531789119</v>
      </c>
      <c r="H22" s="2"/>
      <c r="I22" s="2"/>
      <c r="J22" s="3">
        <v>2007</v>
      </c>
      <c r="K22" s="22">
        <v>8.5943901050123408</v>
      </c>
      <c r="L22" s="22">
        <v>1.10442030385473</v>
      </c>
      <c r="M22" s="12">
        <f t="shared" si="1"/>
        <v>9.6988104088670717</v>
      </c>
      <c r="N22" s="50">
        <f t="shared" si="5"/>
        <v>9.6988104088670717</v>
      </c>
      <c r="O22" s="18">
        <v>6688.0552200000002</v>
      </c>
      <c r="P22" s="12">
        <f t="shared" si="2"/>
        <v>5.3172863654245663</v>
      </c>
      <c r="Q22" s="12">
        <f t="shared" si="6"/>
        <v>5.3172863654245663</v>
      </c>
    </row>
    <row r="23" spans="1:17" ht="16">
      <c r="A23" s="3">
        <v>2008</v>
      </c>
      <c r="B23" s="21">
        <v>23.874597192965901</v>
      </c>
      <c r="C23" s="13">
        <f t="shared" si="3"/>
        <v>87.540189707541629</v>
      </c>
      <c r="D23" s="24">
        <v>9256347</v>
      </c>
      <c r="E23" s="13">
        <f t="shared" si="4"/>
        <v>9.4573150409704425</v>
      </c>
      <c r="F23" s="13">
        <f t="shared" si="0"/>
        <v>49.532587691352987</v>
      </c>
      <c r="G23" s="13">
        <f t="shared" si="7"/>
        <v>49.532587691352987</v>
      </c>
      <c r="H23" s="2"/>
      <c r="I23" s="2"/>
      <c r="J23" s="3">
        <v>2008</v>
      </c>
      <c r="K23" s="22">
        <v>8.7515759836653597</v>
      </c>
      <c r="L23" s="22">
        <v>1.1296045542776501</v>
      </c>
      <c r="M23" s="12">
        <f t="shared" si="1"/>
        <v>9.8811805379430098</v>
      </c>
      <c r="N23" s="50">
        <f t="shared" si="5"/>
        <v>9.8811805379430098</v>
      </c>
      <c r="O23" s="18">
        <v>6770.6267800000005</v>
      </c>
      <c r="P23" s="12">
        <f t="shared" si="2"/>
        <v>5.3512025522976812</v>
      </c>
      <c r="Q23" s="12">
        <f t="shared" si="6"/>
        <v>5.3512025522976812</v>
      </c>
    </row>
    <row r="24" spans="1:17" ht="16">
      <c r="A24" s="3">
        <v>2009</v>
      </c>
      <c r="B24" s="21">
        <v>20.341254342905799</v>
      </c>
      <c r="C24" s="13">
        <f t="shared" si="3"/>
        <v>74.584599257321258</v>
      </c>
      <c r="D24" s="24">
        <v>9340682</v>
      </c>
      <c r="E24" s="13">
        <f t="shared" si="4"/>
        <v>7.9849200794247412</v>
      </c>
      <c r="F24" s="13">
        <f t="shared" si="0"/>
        <v>49.283422950769463</v>
      </c>
      <c r="G24" s="13">
        <f t="shared" si="7"/>
        <v>49.283422950769463</v>
      </c>
      <c r="H24" s="2"/>
      <c r="I24" s="2"/>
      <c r="J24" s="3">
        <v>2009</v>
      </c>
      <c r="K24" s="22">
        <v>8.6253799615661499</v>
      </c>
      <c r="L24" s="22">
        <v>1.23614657040923</v>
      </c>
      <c r="M24" s="12">
        <f t="shared" si="1"/>
        <v>9.8615265319753806</v>
      </c>
      <c r="N24" s="50">
        <f t="shared" si="5"/>
        <v>9.8615265319753806</v>
      </c>
      <c r="O24" s="18">
        <v>6853.1983400000008</v>
      </c>
      <c r="P24" s="12">
        <f t="shared" si="2"/>
        <v>5.2762124811410409</v>
      </c>
      <c r="Q24" s="12">
        <f t="shared" si="6"/>
        <v>5.2762124811410409</v>
      </c>
    </row>
    <row r="25" spans="1:17" ht="16">
      <c r="A25" s="3">
        <v>2010</v>
      </c>
      <c r="B25" s="21">
        <v>23.571282235210202</v>
      </c>
      <c r="C25" s="13">
        <f t="shared" si="3"/>
        <v>86.428034862437414</v>
      </c>
      <c r="D25" s="24">
        <v>9415570</v>
      </c>
      <c r="E25" s="13">
        <f t="shared" si="4"/>
        <v>9.1792674115786319</v>
      </c>
      <c r="F25" s="13">
        <f t="shared" si="0"/>
        <v>51.10635030145896</v>
      </c>
      <c r="G25" s="13">
        <f t="shared" si="7"/>
        <v>51.10635030145896</v>
      </c>
      <c r="H25" s="2"/>
      <c r="I25" s="2"/>
      <c r="J25" s="3">
        <v>2010</v>
      </c>
      <c r="K25" s="22">
        <v>9.0993760753872301</v>
      </c>
      <c r="L25" s="22">
        <v>1.1678115178434501</v>
      </c>
      <c r="M25" s="12">
        <f t="shared" si="1"/>
        <v>10.26718759323068</v>
      </c>
      <c r="N25" s="50">
        <f t="shared" si="5"/>
        <v>10.26718759323068</v>
      </c>
      <c r="O25" s="18">
        <v>6935.7699000000002</v>
      </c>
      <c r="P25" s="12">
        <f t="shared" si="2"/>
        <v>5.4278551698366604</v>
      </c>
      <c r="Q25" s="12">
        <f t="shared" si="6"/>
        <v>5.4278551698366604</v>
      </c>
    </row>
    <row r="26" spans="1:17" ht="16">
      <c r="A26" s="3">
        <v>2011</v>
      </c>
      <c r="B26" s="21">
        <v>22.6344085315596</v>
      </c>
      <c r="C26" s="13">
        <f t="shared" si="3"/>
        <v>82.992831282385211</v>
      </c>
      <c r="D26" s="24">
        <v>9482855</v>
      </c>
      <c r="E26" s="13">
        <f t="shared" si="4"/>
        <v>8.7518823479200325</v>
      </c>
      <c r="F26" s="13">
        <f t="shared" si="0"/>
        <v>53.116996187811203</v>
      </c>
      <c r="G26" s="13">
        <f t="shared" si="7"/>
        <v>53.116996187811203</v>
      </c>
      <c r="H26" s="2"/>
      <c r="I26" s="2"/>
      <c r="J26" s="3">
        <v>2011</v>
      </c>
      <c r="K26" s="22">
        <v>9.4064170703450998</v>
      </c>
      <c r="L26" s="22">
        <v>1.31854201345431</v>
      </c>
      <c r="M26" s="12">
        <f t="shared" si="1"/>
        <v>10.72495908379941</v>
      </c>
      <c r="N26" s="50">
        <f t="shared" si="5"/>
        <v>10.72495908379941</v>
      </c>
      <c r="O26" s="18">
        <v>7020.5749000000005</v>
      </c>
      <c r="P26" s="12">
        <f t="shared" si="2"/>
        <v>5.6013717585907621</v>
      </c>
      <c r="Q26" s="12">
        <f t="shared" si="6"/>
        <v>5.6013717585907621</v>
      </c>
    </row>
    <row r="27" spans="1:17" ht="16">
      <c r="A27" s="3">
        <v>2012</v>
      </c>
      <c r="B27" s="21">
        <v>21.428061445361699</v>
      </c>
      <c r="C27" s="13">
        <f t="shared" si="3"/>
        <v>78.569558632992894</v>
      </c>
      <c r="D27" s="24">
        <v>9555893</v>
      </c>
      <c r="E27" s="13">
        <f t="shared" si="4"/>
        <v>8.2221053158499053</v>
      </c>
      <c r="F27" s="13">
        <f t="shared" si="0"/>
        <v>53.35943222528249</v>
      </c>
      <c r="G27" s="13">
        <f t="shared" si="7"/>
        <v>53.35943222528249</v>
      </c>
      <c r="H27" s="2"/>
      <c r="I27" s="2"/>
      <c r="J27" s="3">
        <v>2012</v>
      </c>
      <c r="K27" s="22">
        <v>9.5443899952692099</v>
      </c>
      <c r="L27" s="22">
        <v>1.27632091081112</v>
      </c>
      <c r="M27" s="12">
        <f t="shared" si="1"/>
        <v>10.820710906080329</v>
      </c>
      <c r="N27" s="50">
        <f t="shared" si="5"/>
        <v>10.820710906080329</v>
      </c>
      <c r="O27" s="18">
        <v>7105.3799000000008</v>
      </c>
      <c r="P27" s="12">
        <f t="shared" si="2"/>
        <v>5.5839294376027953</v>
      </c>
      <c r="Q27" s="12">
        <f t="shared" si="6"/>
        <v>5.5839294376027953</v>
      </c>
    </row>
    <row r="28" spans="1:17" ht="16">
      <c r="A28" s="3">
        <v>2013</v>
      </c>
      <c r="B28" s="21">
        <v>20.4358156520173</v>
      </c>
      <c r="C28" s="13">
        <f t="shared" si="3"/>
        <v>74.931324057396765</v>
      </c>
      <c r="D28" s="24">
        <v>9644864</v>
      </c>
      <c r="E28" s="13">
        <f t="shared" si="4"/>
        <v>7.7690389472984558</v>
      </c>
      <c r="F28" s="13">
        <f t="shared" si="0"/>
        <v>53.153117689484077</v>
      </c>
      <c r="G28" s="13">
        <f t="shared" si="7"/>
        <v>53.153117689484077</v>
      </c>
      <c r="H28" s="2"/>
      <c r="I28" s="2"/>
      <c r="J28" s="3">
        <v>2013</v>
      </c>
      <c r="K28" s="22">
        <v>9.6287402542137102</v>
      </c>
      <c r="L28" s="22">
        <v>1.17816299027291</v>
      </c>
      <c r="M28" s="12">
        <f t="shared" si="1"/>
        <v>10.80690324448662</v>
      </c>
      <c r="N28" s="50">
        <f t="shared" si="5"/>
        <v>10.80690324448662</v>
      </c>
      <c r="O28" s="18">
        <v>7190.1849000000011</v>
      </c>
      <c r="P28" s="12">
        <f t="shared" si="2"/>
        <v>5.5110282207695285</v>
      </c>
      <c r="Q28" s="12">
        <f t="shared" si="6"/>
        <v>5.5110282207695285</v>
      </c>
    </row>
    <row r="29" spans="1:17" ht="16">
      <c r="A29" s="3">
        <v>2014</v>
      </c>
      <c r="B29" s="21">
        <v>19.7006874793808</v>
      </c>
      <c r="C29" s="13">
        <f t="shared" si="3"/>
        <v>72.235854091062933</v>
      </c>
      <c r="D29" s="24">
        <v>9747355</v>
      </c>
      <c r="E29" s="13">
        <f t="shared" si="4"/>
        <v>7.4108159691591133</v>
      </c>
      <c r="F29" s="13">
        <f t="shared" si="0"/>
        <v>53.760547220090636</v>
      </c>
      <c r="G29" s="13">
        <f t="shared" si="7"/>
        <v>53.760547220090636</v>
      </c>
      <c r="H29" s="2"/>
      <c r="I29" s="2"/>
      <c r="J29" s="3">
        <v>2014</v>
      </c>
      <c r="K29" s="22">
        <v>9.6974869552887206</v>
      </c>
      <c r="L29" s="22">
        <v>1.2455498912469201</v>
      </c>
      <c r="M29" s="12">
        <f t="shared" si="1"/>
        <v>10.943036846535641</v>
      </c>
      <c r="N29" s="50">
        <f t="shared" si="5"/>
        <v>10.943036846535641</v>
      </c>
      <c r="O29" s="18">
        <v>7274.9899000000014</v>
      </c>
      <c r="P29" s="12">
        <f t="shared" si="2"/>
        <v>5.5153985076044361</v>
      </c>
      <c r="Q29" s="12">
        <f t="shared" si="6"/>
        <v>5.5153985076044361</v>
      </c>
    </row>
    <row r="30" spans="1:17" ht="16">
      <c r="A30" s="3">
        <v>2015</v>
      </c>
      <c r="B30" s="21">
        <v>19.2944451384305</v>
      </c>
      <c r="C30" s="13">
        <f t="shared" si="3"/>
        <v>70.746298840911834</v>
      </c>
      <c r="D30" s="24">
        <v>9851017</v>
      </c>
      <c r="E30" s="13">
        <f t="shared" si="4"/>
        <v>7.1816238710086315</v>
      </c>
      <c r="F30" s="13">
        <f t="shared" si="0"/>
        <v>53.927627960266754</v>
      </c>
      <c r="G30" s="13">
        <f t="shared" si="7"/>
        <v>53.927627960266754</v>
      </c>
      <c r="H30" s="2"/>
      <c r="I30" s="2"/>
      <c r="J30" s="3">
        <v>2015</v>
      </c>
      <c r="K30" s="22">
        <v>9.6871373635491196</v>
      </c>
      <c r="L30" s="22">
        <v>1.3010114068515399</v>
      </c>
      <c r="M30" s="12">
        <f t="shared" si="1"/>
        <v>10.98814877040066</v>
      </c>
      <c r="N30" s="50">
        <f t="shared" si="5"/>
        <v>10.98814877040066</v>
      </c>
      <c r="O30" s="18">
        <v>7359.7948999999999</v>
      </c>
      <c r="P30" s="12">
        <f t="shared" si="2"/>
        <v>5.4743208706539388</v>
      </c>
      <c r="Q30" s="12">
        <f t="shared" si="6"/>
        <v>5.4743208706539388</v>
      </c>
    </row>
    <row r="31" spans="1:17" ht="16">
      <c r="A31" s="3">
        <v>2016</v>
      </c>
      <c r="B31" s="21">
        <v>19.088382679441299</v>
      </c>
      <c r="C31" s="13">
        <f t="shared" si="3"/>
        <v>69.990736491284764</v>
      </c>
      <c r="D31" s="24">
        <v>9995153</v>
      </c>
      <c r="E31" s="13">
        <f t="shared" si="4"/>
        <v>7.002467745244596</v>
      </c>
      <c r="F31" s="13">
        <f t="shared" si="0"/>
        <v>52.704121035903469</v>
      </c>
      <c r="G31" s="13">
        <f t="shared" si="7"/>
        <v>52.704121035903469</v>
      </c>
      <c r="H31" s="2"/>
      <c r="I31" s="2"/>
      <c r="J31" s="3">
        <v>2016</v>
      </c>
      <c r="K31" s="22">
        <v>9.6752124688166905</v>
      </c>
      <c r="L31" s="22">
        <v>1.0108009060693499</v>
      </c>
      <c r="M31" s="12">
        <f t="shared" si="1"/>
        <v>10.686013374886041</v>
      </c>
      <c r="N31" s="50">
        <f t="shared" si="5"/>
        <v>10.686013374886041</v>
      </c>
      <c r="O31" s="18">
        <v>7430.7391399999997</v>
      </c>
      <c r="P31" s="12">
        <f t="shared" si="2"/>
        <v>5.2729679111368748</v>
      </c>
      <c r="Q31" s="12">
        <f t="shared" si="6"/>
        <v>5.2729679111368748</v>
      </c>
    </row>
    <row r="32" spans="1:17" ht="16">
      <c r="A32" s="3">
        <v>2017</v>
      </c>
      <c r="B32" s="21">
        <v>19.254228609603899</v>
      </c>
      <c r="C32" s="13">
        <f t="shared" si="3"/>
        <v>70.598838235214302</v>
      </c>
      <c r="D32" s="24">
        <v>10120242</v>
      </c>
      <c r="E32" s="13">
        <f t="shared" si="4"/>
        <v>6.9760029686260774</v>
      </c>
      <c r="F32" s="13">
        <f t="shared" si="0"/>
        <v>53.442816111045786</v>
      </c>
      <c r="G32" s="13">
        <f t="shared" si="7"/>
        <v>53.442816111045786</v>
      </c>
      <c r="H32" s="2"/>
      <c r="I32" s="2"/>
      <c r="J32" s="3">
        <v>2017</v>
      </c>
      <c r="K32" s="22">
        <v>9.8043347520298791</v>
      </c>
      <c r="L32" s="22">
        <v>0.999694136552438</v>
      </c>
      <c r="M32" s="12">
        <f t="shared" si="1"/>
        <v>10.804028888582318</v>
      </c>
      <c r="N32" s="50">
        <f t="shared" si="5"/>
        <v>10.804028888582318</v>
      </c>
      <c r="O32" s="18">
        <v>7501.6833799999995</v>
      </c>
      <c r="P32" s="12">
        <f t="shared" si="2"/>
        <v>5.2807844032826274</v>
      </c>
      <c r="Q32" s="12">
        <f t="shared" si="6"/>
        <v>5.2807844032826274</v>
      </c>
    </row>
    <row r="33" spans="1:17" ht="16">
      <c r="A33" s="3">
        <v>2018</v>
      </c>
      <c r="B33" s="21">
        <v>19.392477875154999</v>
      </c>
      <c r="C33" s="13">
        <f t="shared" si="3"/>
        <v>71.105752208901663</v>
      </c>
      <c r="D33" s="24">
        <v>10230185</v>
      </c>
      <c r="E33" s="13">
        <f t="shared" si="4"/>
        <v>6.9505832210171823</v>
      </c>
      <c r="F33" s="13">
        <f t="shared" si="0"/>
        <v>54.753696256757451</v>
      </c>
      <c r="G33" s="13">
        <f t="shared" si="7"/>
        <v>54.753696256757451</v>
      </c>
      <c r="H33" s="2"/>
      <c r="I33" s="2"/>
      <c r="J33" s="3">
        <v>2018</v>
      </c>
      <c r="K33" s="22">
        <v>10.0008134526483</v>
      </c>
      <c r="L33" s="22">
        <v>1.0528216985603001</v>
      </c>
      <c r="M33" s="12">
        <f t="shared" si="1"/>
        <v>11.053635151208599</v>
      </c>
      <c r="N33" s="50">
        <f t="shared" si="5"/>
        <v>11.053635151208599</v>
      </c>
      <c r="O33" s="18">
        <v>7572.6276199999993</v>
      </c>
      <c r="P33" s="12">
        <f t="shared" si="2"/>
        <v>5.3521706847684039</v>
      </c>
      <c r="Q33" s="12">
        <f t="shared" si="6"/>
        <v>5.3521706847684039</v>
      </c>
    </row>
    <row r="34" spans="1:17" ht="16">
      <c r="A34" s="3">
        <v>2019</v>
      </c>
      <c r="B34" s="21">
        <v>18.528676025513199</v>
      </c>
      <c r="C34" s="13">
        <f t="shared" si="3"/>
        <v>67.938478760215062</v>
      </c>
      <c r="D34" s="24">
        <v>10327553</v>
      </c>
      <c r="E34" s="13">
        <f t="shared" si="4"/>
        <v>6.5783713489744429</v>
      </c>
      <c r="F34" s="13">
        <f t="shared" si="0"/>
        <v>54.794294180322552</v>
      </c>
      <c r="G34" s="13">
        <f t="shared" si="7"/>
        <v>54.794294180322552</v>
      </c>
      <c r="H34" s="32"/>
      <c r="I34" s="2"/>
      <c r="J34" s="3">
        <v>2019</v>
      </c>
      <c r="K34" s="22">
        <v>10.016142967920899</v>
      </c>
      <c r="L34" s="22">
        <v>1.0440531295373501</v>
      </c>
      <c r="M34" s="12">
        <f t="shared" si="1"/>
        <v>11.060196097458249</v>
      </c>
      <c r="N34" s="50">
        <f t="shared" si="5"/>
        <v>11.060196097458249</v>
      </c>
      <c r="O34" s="18">
        <v>7643.5718599999991</v>
      </c>
      <c r="P34" s="12">
        <f t="shared" si="2"/>
        <v>5.3056415377701329</v>
      </c>
      <c r="Q34" s="12">
        <f t="shared" si="6"/>
        <v>5.3056415377701329</v>
      </c>
    </row>
    <row r="35" spans="1:17" ht="16">
      <c r="A35" s="3">
        <v>2020</v>
      </c>
      <c r="B35" s="47"/>
      <c r="C35" s="13"/>
      <c r="D35" s="24">
        <v>10379295</v>
      </c>
      <c r="E35" s="13"/>
      <c r="F35" s="13">
        <f t="shared" si="0"/>
        <v>51.187338639999517</v>
      </c>
      <c r="G35" s="13">
        <f t="shared" si="7"/>
        <v>51.187338639999517</v>
      </c>
      <c r="H35" s="2"/>
      <c r="I35" s="2"/>
      <c r="J35" s="3">
        <v>2020</v>
      </c>
      <c r="K35" s="22">
        <v>9.4999577782783593</v>
      </c>
      <c r="L35" s="22">
        <v>0.87608978182072705</v>
      </c>
      <c r="M35" s="12">
        <f>L35+K35</f>
        <v>10.376047560099087</v>
      </c>
      <c r="N35" s="50">
        <f t="shared" si="5"/>
        <v>10.376047560099087</v>
      </c>
      <c r="O35" s="18">
        <v>7714.5160999999998</v>
      </c>
      <c r="P35" s="12">
        <f t="shared" si="2"/>
        <v>4.9316777912179504</v>
      </c>
      <c r="Q35" s="12">
        <f t="shared" si="6"/>
        <v>4.9316777912179504</v>
      </c>
    </row>
    <row r="36" spans="1:17" ht="16">
      <c r="A36" s="3">
        <v>2021</v>
      </c>
      <c r="B36" s="13"/>
      <c r="C36" s="13"/>
      <c r="D36" s="24">
        <v>10428301</v>
      </c>
      <c r="E36" s="13"/>
      <c r="F36" s="13">
        <f t="shared" si="0"/>
        <v>54.514965440412375</v>
      </c>
      <c r="G36" s="13">
        <f t="shared" si="7"/>
        <v>51.93236838426585</v>
      </c>
      <c r="H36" s="2"/>
      <c r="I36" s="2"/>
      <c r="J36" s="3">
        <v>2021</v>
      </c>
      <c r="K36" s="3"/>
      <c r="L36" s="3"/>
      <c r="M36" s="18">
        <f>'IPCC IMPs'!F14/1000</f>
        <v>11.092522600000001</v>
      </c>
      <c r="N36" s="18">
        <f>'IPCC IMPs'!G14/1000</f>
        <v>10.567024400000001</v>
      </c>
      <c r="O36" s="18">
        <v>7780.3577999999998</v>
      </c>
      <c r="P36" s="12">
        <f t="shared" si="2"/>
        <v>5.2275979989849137</v>
      </c>
      <c r="Q36" s="12">
        <f t="shared" si="6"/>
        <v>4.9799452839216904</v>
      </c>
    </row>
    <row r="37" spans="1:17" ht="16">
      <c r="A37" s="3">
        <v>2022</v>
      </c>
      <c r="D37" s="24">
        <v>10477130</v>
      </c>
      <c r="E37" s="13"/>
      <c r="F37" s="13">
        <f t="shared" ref="F37:F65" si="8">D37*P37/1000000</f>
        <v>51.357696401257797</v>
      </c>
      <c r="G37" s="13">
        <f t="shared" si="7"/>
        <v>51.18017730207832</v>
      </c>
      <c r="H37" s="2"/>
      <c r="I37" s="2"/>
      <c r="J37" s="3">
        <v>2022</v>
      </c>
      <c r="K37" s="3"/>
      <c r="L37" s="3"/>
      <c r="M37" s="18">
        <f>'IPCC IMPs'!F15/1000</f>
        <v>10.489411400000002</v>
      </c>
      <c r="N37" s="18">
        <f>'IPCC IMPs'!G15/1000</f>
        <v>10.4531545</v>
      </c>
      <c r="O37" s="18">
        <v>7846.1994999999997</v>
      </c>
      <c r="P37" s="12">
        <f t="shared" ref="P37:P65" si="9">M37*1000000000*44/12*1/(O37*1000000)</f>
        <v>4.9018859555295959</v>
      </c>
      <c r="Q37" s="12">
        <f t="shared" si="6"/>
        <v>4.884942470130496</v>
      </c>
    </row>
    <row r="38" spans="1:17" ht="16">
      <c r="A38" s="3">
        <v>2023</v>
      </c>
      <c r="D38" s="24">
        <v>10523969</v>
      </c>
      <c r="E38" s="13"/>
      <c r="F38" s="13">
        <f t="shared" si="8"/>
        <v>48.216562369383482</v>
      </c>
      <c r="G38" s="13">
        <f t="shared" si="7"/>
        <v>50.425817142050832</v>
      </c>
      <c r="H38" s="2"/>
      <c r="I38" s="2"/>
      <c r="J38" s="3">
        <v>2023</v>
      </c>
      <c r="K38" s="3"/>
      <c r="L38" s="3"/>
      <c r="M38" s="18">
        <f>'IPCC IMPs'!F16/1000</f>
        <v>9.88630019</v>
      </c>
      <c r="N38" s="18">
        <f>'IPCC IMPs'!G16/1000</f>
        <v>10.3392847</v>
      </c>
      <c r="O38" s="18">
        <v>7912.0411999999997</v>
      </c>
      <c r="P38" s="12">
        <f t="shared" si="9"/>
        <v>4.5815948687594465</v>
      </c>
      <c r="Q38" s="12">
        <f t="shared" si="6"/>
        <v>4.7915208741161086</v>
      </c>
    </row>
    <row r="39" spans="1:17" ht="16">
      <c r="A39" s="3">
        <v>2024</v>
      </c>
      <c r="D39" s="24">
        <v>10569942</v>
      </c>
      <c r="E39" s="13"/>
      <c r="F39" s="13">
        <f t="shared" si="8"/>
        <v>45.097614390489099</v>
      </c>
      <c r="G39" s="13">
        <f t="shared" si="7"/>
        <v>49.674935480328905</v>
      </c>
      <c r="H39" s="2"/>
      <c r="I39" s="2"/>
      <c r="J39" s="3">
        <v>2024</v>
      </c>
      <c r="K39" s="3"/>
      <c r="L39" s="3"/>
      <c r="M39" s="18">
        <f>'IPCC IMPs'!F17/1000</f>
        <v>9.2831889800000003</v>
      </c>
      <c r="N39" s="18">
        <f>'IPCC IMPs'!G17/1000</f>
        <v>10.225414800000001</v>
      </c>
      <c r="O39" s="18">
        <v>7977.8828999999996</v>
      </c>
      <c r="P39" s="12">
        <f t="shared" si="9"/>
        <v>4.2665905253301393</v>
      </c>
      <c r="Q39" s="12">
        <f t="shared" si="6"/>
        <v>4.6996412544485962</v>
      </c>
    </row>
    <row r="40" spans="1:17" ht="16">
      <c r="A40" s="3">
        <v>2025</v>
      </c>
      <c r="D40" s="24">
        <v>10616595</v>
      </c>
      <c r="E40" s="13"/>
      <c r="F40" s="13">
        <f t="shared" si="8"/>
        <v>42.007138981805319</v>
      </c>
      <c r="G40" s="13">
        <f t="shared" si="7"/>
        <v>48.934708637423398</v>
      </c>
      <c r="H40" s="2"/>
      <c r="I40" s="2"/>
      <c r="J40" s="3">
        <v>2025</v>
      </c>
      <c r="K40" s="3"/>
      <c r="L40" s="3"/>
      <c r="M40" s="18">
        <f>'IPCC IMPs'!F18/1000</f>
        <v>8.6800777599999996</v>
      </c>
      <c r="N40" s="18">
        <f>'IPCC IMPs'!G18/1000</f>
        <v>10.111545</v>
      </c>
      <c r="O40" s="18">
        <v>8043.7245999999996</v>
      </c>
      <c r="P40" s="12">
        <f t="shared" si="9"/>
        <v>3.956743097179964</v>
      </c>
      <c r="Q40" s="12">
        <f t="shared" si="6"/>
        <v>4.6092658368736297</v>
      </c>
    </row>
    <row r="41" spans="1:17" ht="16">
      <c r="A41" s="3">
        <v>2026</v>
      </c>
      <c r="D41" s="24">
        <v>10663635</v>
      </c>
      <c r="E41" s="13"/>
      <c r="F41" s="13">
        <f t="shared" si="8"/>
        <v>38.815428270694035</v>
      </c>
      <c r="G41" s="13">
        <f t="shared" si="7"/>
        <v>47.980324416891307</v>
      </c>
      <c r="H41" s="2"/>
      <c r="I41" s="2"/>
      <c r="J41" s="3">
        <v>2026</v>
      </c>
      <c r="K41" s="3"/>
      <c r="L41" s="3"/>
      <c r="M41" s="18">
        <f>'IPCC IMPs'!F19/1000</f>
        <v>8.04427454</v>
      </c>
      <c r="N41" s="18">
        <f>'IPCC IMPs'!G19/1000</f>
        <v>9.9436466199999991</v>
      </c>
      <c r="O41" s="18">
        <v>8103.2493599999998</v>
      </c>
      <c r="P41" s="12">
        <f t="shared" si="9"/>
        <v>3.639980951213543</v>
      </c>
      <c r="Q41" s="12">
        <f t="shared" si="6"/>
        <v>4.4994342376582948</v>
      </c>
    </row>
    <row r="42" spans="1:17" ht="16">
      <c r="A42" s="3">
        <v>2027</v>
      </c>
      <c r="D42" s="24">
        <v>10710874</v>
      </c>
      <c r="E42" s="13"/>
      <c r="F42" s="13">
        <f t="shared" si="8"/>
        <v>35.644059989925353</v>
      </c>
      <c r="G42" s="13">
        <f t="shared" si="7"/>
        <v>47.033637943851694</v>
      </c>
      <c r="H42" s="2"/>
      <c r="I42" s="2"/>
      <c r="J42" s="3">
        <v>2027</v>
      </c>
      <c r="K42" s="3"/>
      <c r="L42" s="3"/>
      <c r="M42" s="18">
        <f>'IPCC IMPs'!F20/1000</f>
        <v>7.4084713199999994</v>
      </c>
      <c r="N42" s="18">
        <f>'IPCC IMPs'!G20/1000</f>
        <v>9.7757482699999994</v>
      </c>
      <c r="O42" s="18">
        <v>8162.77412</v>
      </c>
      <c r="P42" s="12">
        <f t="shared" si="9"/>
        <v>3.3278386049472108</v>
      </c>
      <c r="Q42" s="12">
        <f t="shared" si="6"/>
        <v>4.3912044846995393</v>
      </c>
    </row>
    <row r="43" spans="1:17" ht="16">
      <c r="A43" s="3">
        <v>2028</v>
      </c>
      <c r="D43" s="24">
        <v>10758403</v>
      </c>
      <c r="E43" s="13"/>
      <c r="F43" s="13">
        <f t="shared" si="8"/>
        <v>32.492697908166498</v>
      </c>
      <c r="G43" s="13">
        <f t="shared" si="7"/>
        <v>46.094827088538672</v>
      </c>
      <c r="H43" s="2"/>
      <c r="I43" s="2"/>
      <c r="J43" s="3">
        <v>2028</v>
      </c>
      <c r="K43" s="3"/>
      <c r="L43" s="3"/>
      <c r="M43" s="18">
        <f>'IPCC IMPs'!F21/1000</f>
        <v>6.7726680999999997</v>
      </c>
      <c r="N43" s="18">
        <f>'IPCC IMPs'!G21/1000</f>
        <v>9.6078499200000014</v>
      </c>
      <c r="O43" s="18">
        <v>8222.2988800000003</v>
      </c>
      <c r="P43" s="12">
        <f t="shared" si="9"/>
        <v>3.0202157242265883</v>
      </c>
      <c r="Q43" s="12">
        <f t="shared" si="6"/>
        <v>4.2845417752559252</v>
      </c>
    </row>
    <row r="44" spans="1:17" ht="16">
      <c r="A44" s="3">
        <v>2029</v>
      </c>
      <c r="D44" s="24">
        <v>10805992</v>
      </c>
      <c r="E44" s="13"/>
      <c r="F44" s="13">
        <f t="shared" si="8"/>
        <v>29.360040835240099</v>
      </c>
      <c r="G44" s="13">
        <f t="shared" si="7"/>
        <v>45.162696099297023</v>
      </c>
      <c r="H44" s="2"/>
      <c r="I44" s="2"/>
      <c r="J44" s="3">
        <v>2029</v>
      </c>
      <c r="K44" s="3"/>
      <c r="L44" s="3"/>
      <c r="M44" s="18">
        <f>'IPCC IMPs'!F22/1000</f>
        <v>6.1368648800000001</v>
      </c>
      <c r="N44" s="18">
        <f>'IPCC IMPs'!G22/1000</f>
        <v>9.4399515699999998</v>
      </c>
      <c r="O44" s="18">
        <v>8281.8236400000005</v>
      </c>
      <c r="P44" s="12">
        <f t="shared" si="9"/>
        <v>2.7170148594631662</v>
      </c>
      <c r="Q44" s="12">
        <f t="shared" si="6"/>
        <v>4.1794123204326841</v>
      </c>
    </row>
    <row r="45" spans="1:17" ht="16">
      <c r="A45" s="3">
        <v>2030</v>
      </c>
      <c r="D45" s="24">
        <v>10853866</v>
      </c>
      <c r="E45" s="13"/>
      <c r="F45" s="13">
        <f t="shared" si="8"/>
        <v>26.24618205513902</v>
      </c>
      <c r="G45" s="13">
        <f t="shared" si="7"/>
        <v>44.238005737866615</v>
      </c>
      <c r="H45" s="2"/>
      <c r="I45" s="2"/>
      <c r="J45" s="3">
        <v>2030</v>
      </c>
      <c r="K45" s="3"/>
      <c r="L45" s="3"/>
      <c r="M45" s="18">
        <f>'IPCC IMPs'!F23/1000</f>
        <v>5.5010616499999996</v>
      </c>
      <c r="N45" s="18">
        <f>'IPCC IMPs'!G23/1000</f>
        <v>9.2720532200000001</v>
      </c>
      <c r="O45" s="18">
        <v>8341.3484000000008</v>
      </c>
      <c r="P45" s="12">
        <f t="shared" si="9"/>
        <v>2.4181413383156767</v>
      </c>
      <c r="Q45" s="12">
        <f t="shared" si="6"/>
        <v>4.0757832958198135</v>
      </c>
    </row>
    <row r="46" spans="1:17" ht="16">
      <c r="A46" s="3">
        <v>2031</v>
      </c>
      <c r="D46" s="24">
        <v>10900734</v>
      </c>
      <c r="E46" s="13"/>
      <c r="F46" s="13">
        <f t="shared" si="8"/>
        <v>24.465090197300597</v>
      </c>
      <c r="G46" s="13">
        <f t="shared" si="7"/>
        <v>42.007258395612915</v>
      </c>
      <c r="H46" s="2"/>
      <c r="I46" s="2"/>
      <c r="J46" s="3">
        <v>2031</v>
      </c>
      <c r="K46" s="3"/>
      <c r="L46" s="3"/>
      <c r="M46" s="18">
        <f>'IPCC IMPs'!F24/1000</f>
        <v>5.1383004899999998</v>
      </c>
      <c r="N46" s="18">
        <f>'IPCC IMPs'!G24/1000</f>
        <v>8.8226086499999994</v>
      </c>
      <c r="O46" s="18">
        <v>8394.5969600000008</v>
      </c>
      <c r="P46" s="12">
        <f t="shared" si="9"/>
        <v>2.2443525543601557</v>
      </c>
      <c r="Q46" s="12">
        <f t="shared" si="6"/>
        <v>3.8536174165531345</v>
      </c>
    </row>
    <row r="47" spans="1:17" ht="16">
      <c r="A47" s="3">
        <v>2032</v>
      </c>
      <c r="D47" s="24">
        <v>10946282</v>
      </c>
      <c r="E47" s="13"/>
      <c r="F47" s="13">
        <f t="shared" si="8"/>
        <v>22.688956599468789</v>
      </c>
      <c r="G47" s="13">
        <f t="shared" si="7"/>
        <v>39.781550084324415</v>
      </c>
      <c r="H47" s="2"/>
      <c r="I47" s="2"/>
      <c r="J47" s="3">
        <v>2032</v>
      </c>
      <c r="K47" s="3"/>
      <c r="L47" s="3"/>
      <c r="M47" s="18">
        <f>'IPCC IMPs'!F25/1000</f>
        <v>4.77553932</v>
      </c>
      <c r="N47" s="18">
        <f>'IPCC IMPs'!G25/1000</f>
        <v>8.3731640899999995</v>
      </c>
      <c r="O47" s="18">
        <v>8447.8455200000008</v>
      </c>
      <c r="P47" s="12">
        <f t="shared" si="9"/>
        <v>2.072754621109596</v>
      </c>
      <c r="Q47" s="12">
        <f t="shared" si="6"/>
        <v>3.6342522588331283</v>
      </c>
    </row>
    <row r="48" spans="1:17" ht="16">
      <c r="A48" s="3">
        <v>2033</v>
      </c>
      <c r="D48" s="24">
        <v>10991015</v>
      </c>
      <c r="E48" s="13"/>
      <c r="F48" s="13">
        <f t="shared" si="8"/>
        <v>20.919268908249538</v>
      </c>
      <c r="G48" s="13">
        <f t="shared" si="7"/>
        <v>37.563279631816222</v>
      </c>
      <c r="H48" s="2"/>
      <c r="I48" s="2"/>
      <c r="J48" s="3">
        <v>2033</v>
      </c>
      <c r="K48" s="3"/>
      <c r="L48" s="3"/>
      <c r="M48" s="18">
        <f>'IPCC IMPs'!F26/1000</f>
        <v>4.4127781500000003</v>
      </c>
      <c r="N48" s="18">
        <f>'IPCC IMPs'!G26/1000</f>
        <v>7.9237195300000005</v>
      </c>
      <c r="O48" s="18">
        <v>8501.0940800000008</v>
      </c>
      <c r="P48" s="12">
        <f t="shared" si="9"/>
        <v>1.9033063741837801</v>
      </c>
      <c r="Q48" s="12">
        <f t="shared" si="6"/>
        <v>3.4176351894539518</v>
      </c>
    </row>
    <row r="49" spans="1:17" ht="16">
      <c r="A49" s="3">
        <v>2034</v>
      </c>
      <c r="D49" s="24">
        <v>11035492</v>
      </c>
      <c r="E49" s="13"/>
      <c r="F49" s="13">
        <f t="shared" si="8"/>
        <v>19.157257380371504</v>
      </c>
      <c r="G49" s="13">
        <f t="shared" si="7"/>
        <v>35.354570038966301</v>
      </c>
      <c r="H49" s="2"/>
      <c r="I49" s="2"/>
      <c r="J49" s="3">
        <v>2034</v>
      </c>
      <c r="K49" s="3"/>
      <c r="L49" s="3"/>
      <c r="M49" s="18">
        <f>'IPCC IMPs'!F27/1000</f>
        <v>4.0500169900000005</v>
      </c>
      <c r="N49" s="18">
        <f>'IPCC IMPs'!G27/1000</f>
        <v>7.4742749700000006</v>
      </c>
      <c r="O49" s="18">
        <v>8554.3426400000008</v>
      </c>
      <c r="P49" s="12">
        <f t="shared" si="9"/>
        <v>1.7359676741527703</v>
      </c>
      <c r="Q49" s="12">
        <f t="shared" si="6"/>
        <v>3.2037148900081935</v>
      </c>
    </row>
    <row r="50" spans="1:17" ht="16">
      <c r="A50" s="3">
        <v>2035</v>
      </c>
      <c r="D50" s="24">
        <v>11079751</v>
      </c>
      <c r="E50" s="13"/>
      <c r="F50" s="13">
        <f t="shared" si="8"/>
        <v>17.402957827423659</v>
      </c>
      <c r="G50" s="13">
        <f t="shared" si="7"/>
        <v>33.155504571419641</v>
      </c>
      <c r="H50" s="2"/>
      <c r="I50" s="2"/>
      <c r="J50" s="3">
        <v>2035</v>
      </c>
      <c r="K50" s="3"/>
      <c r="L50" s="3"/>
      <c r="M50" s="18">
        <f>'IPCC IMPs'!F28/1000</f>
        <v>3.6872558199999999</v>
      </c>
      <c r="N50" s="18">
        <f>'IPCC IMPs'!G28/1000</f>
        <v>7.0248303999999999</v>
      </c>
      <c r="O50" s="18">
        <v>8607.5912000000008</v>
      </c>
      <c r="P50" s="12">
        <f t="shared" si="9"/>
        <v>1.5706993620545857</v>
      </c>
      <c r="Q50" s="12">
        <f t="shared" si="6"/>
        <v>2.9924413076990306</v>
      </c>
    </row>
    <row r="51" spans="1:17" ht="16">
      <c r="A51" s="3">
        <v>2036</v>
      </c>
      <c r="D51" s="24">
        <v>11123845</v>
      </c>
      <c r="E51" s="13"/>
      <c r="F51" s="13">
        <f t="shared" si="8"/>
        <v>16.079652508872343</v>
      </c>
      <c r="G51" s="13">
        <f t="shared" si="7"/>
        <v>31.339792598878095</v>
      </c>
      <c r="H51" s="2"/>
      <c r="I51" s="2"/>
      <c r="J51" s="3">
        <v>2036</v>
      </c>
      <c r="K51" s="3"/>
      <c r="L51" s="3"/>
      <c r="M51" s="18">
        <f>'IPCC IMPs'!F29/1000</f>
        <v>3.41174643</v>
      </c>
      <c r="N51" s="18">
        <f>'IPCC IMPs'!G29/1000</f>
        <v>6.6496104599999999</v>
      </c>
      <c r="O51" s="18">
        <v>8654.1904000000013</v>
      </c>
      <c r="P51" s="12">
        <f t="shared" si="9"/>
        <v>1.4455120966601334</v>
      </c>
      <c r="Q51" s="12">
        <f t="shared" si="6"/>
        <v>2.8173525070583141</v>
      </c>
    </row>
    <row r="52" spans="1:17" ht="16">
      <c r="A52" s="3">
        <v>2037</v>
      </c>
      <c r="D52" s="24">
        <v>11168066</v>
      </c>
      <c r="E52" s="13"/>
      <c r="F52" s="13">
        <f t="shared" si="8"/>
        <v>14.760450631074459</v>
      </c>
      <c r="G52" s="13">
        <f t="shared" si="7"/>
        <v>29.529920693634143</v>
      </c>
      <c r="H52" s="2"/>
      <c r="I52" s="2"/>
      <c r="J52" s="3">
        <v>2037</v>
      </c>
      <c r="K52" s="3"/>
      <c r="L52" s="3"/>
      <c r="M52" s="18">
        <f>'IPCC IMPs'!F30/1000</f>
        <v>3.1362370500000001</v>
      </c>
      <c r="N52" s="18">
        <f>'IPCC IMPs'!G30/1000</f>
        <v>6.2743905099999999</v>
      </c>
      <c r="O52" s="18">
        <v>8700.7896000000019</v>
      </c>
      <c r="P52" s="12">
        <f t="shared" si="9"/>
        <v>1.3216657773220948</v>
      </c>
      <c r="Q52" s="12">
        <f t="shared" si="6"/>
        <v>2.6441391637221825</v>
      </c>
    </row>
    <row r="53" spans="1:17" ht="16">
      <c r="A53" s="3">
        <v>2038</v>
      </c>
      <c r="D53" s="24">
        <v>11212635</v>
      </c>
      <c r="E53" s="13"/>
      <c r="F53" s="13">
        <f t="shared" si="8"/>
        <v>13.445507530423443</v>
      </c>
      <c r="G53" s="13">
        <f t="shared" si="7"/>
        <v>27.726282173322065</v>
      </c>
      <c r="H53" s="2"/>
      <c r="I53" s="2"/>
      <c r="J53" s="3">
        <v>2038</v>
      </c>
      <c r="K53" s="3"/>
      <c r="L53" s="3"/>
      <c r="M53" s="18">
        <f>'IPCC IMPs'!F31/1000</f>
        <v>2.8607276600000002</v>
      </c>
      <c r="N53" s="18">
        <f>'IPCC IMPs'!G31/1000</f>
        <v>5.8991705699999999</v>
      </c>
      <c r="O53" s="18">
        <v>8747.3888000000024</v>
      </c>
      <c r="P53" s="12">
        <f t="shared" si="9"/>
        <v>1.1991389651427558</v>
      </c>
      <c r="Q53" s="12">
        <f t="shared" si="6"/>
        <v>2.4727713131946296</v>
      </c>
    </row>
    <row r="54" spans="1:17" ht="16">
      <c r="A54" s="3">
        <v>2039</v>
      </c>
      <c r="D54" s="24">
        <v>11257650</v>
      </c>
      <c r="E54" s="13"/>
      <c r="F54" s="13">
        <f t="shared" si="8"/>
        <v>12.134741305395682</v>
      </c>
      <c r="G54" s="13">
        <f t="shared" si="7"/>
        <v>25.928840236067064</v>
      </c>
      <c r="H54" s="2"/>
      <c r="I54" s="2"/>
      <c r="J54" s="3">
        <v>2039</v>
      </c>
      <c r="K54" s="3"/>
      <c r="L54" s="3"/>
      <c r="M54" s="18">
        <f>'IPCC IMPs'!F32/1000</f>
        <v>2.5852182799999999</v>
      </c>
      <c r="N54" s="18">
        <f>'IPCC IMPs'!G32/1000</f>
        <v>5.5239506199999999</v>
      </c>
      <c r="O54" s="18">
        <v>8793.988000000003</v>
      </c>
      <c r="P54" s="12">
        <f t="shared" si="9"/>
        <v>1.0779106923199497</v>
      </c>
      <c r="Q54" s="12">
        <f t="shared" si="6"/>
        <v>2.3032196094271065</v>
      </c>
    </row>
    <row r="55" spans="1:17" ht="16">
      <c r="A55" s="3">
        <v>2040</v>
      </c>
      <c r="D55" s="24">
        <v>11303262</v>
      </c>
      <c r="E55" s="13"/>
      <c r="F55" s="13">
        <f t="shared" si="8"/>
        <v>10.828077573904103</v>
      </c>
      <c r="G55" s="13">
        <f t="shared" si="7"/>
        <v>24.137611216528683</v>
      </c>
      <c r="H55" s="2"/>
      <c r="I55" s="2"/>
      <c r="J55" s="3">
        <v>2040</v>
      </c>
      <c r="K55" s="3"/>
      <c r="L55" s="3"/>
      <c r="M55" s="18">
        <f>'IPCC IMPs'!F33/1000</f>
        <v>2.30970889</v>
      </c>
      <c r="N55" s="18">
        <f>'IPCC IMPs'!G33/1000</f>
        <v>5.1487306799999999</v>
      </c>
      <c r="O55" s="18">
        <v>8840.5871999999999</v>
      </c>
      <c r="P55" s="12">
        <f t="shared" si="9"/>
        <v>0.95796041655091269</v>
      </c>
      <c r="Q55" s="12">
        <f t="shared" si="6"/>
        <v>2.1354553416994744</v>
      </c>
    </row>
    <row r="56" spans="1:17" ht="16">
      <c r="A56" s="3">
        <v>2041</v>
      </c>
      <c r="D56" s="24">
        <v>11349389</v>
      </c>
      <c r="E56" s="13"/>
      <c r="F56" s="13">
        <f t="shared" si="8"/>
        <v>9.8309203252486288</v>
      </c>
      <c r="G56" s="13">
        <f t="shared" si="7"/>
        <v>22.999301658676305</v>
      </c>
      <c r="H56" s="2"/>
      <c r="I56" s="2"/>
      <c r="J56" s="3">
        <v>2041</v>
      </c>
      <c r="K56" s="3"/>
      <c r="L56" s="3"/>
      <c r="M56" s="18">
        <f>'IPCC IMPs'!F34/1000</f>
        <v>2.0977872900000003</v>
      </c>
      <c r="N56" s="18">
        <f>'IPCC IMPs'!G34/1000</f>
        <v>4.9077442499999995</v>
      </c>
      <c r="O56" s="18">
        <v>8879.9635999999991</v>
      </c>
      <c r="P56" s="12">
        <f t="shared" si="9"/>
        <v>0.86620701125396515</v>
      </c>
      <c r="Q56" s="12">
        <f t="shared" si="6"/>
        <v>2.026479280838493</v>
      </c>
    </row>
    <row r="57" spans="1:17" ht="16">
      <c r="A57" s="3">
        <v>2042</v>
      </c>
      <c r="D57" s="24">
        <v>11396046</v>
      </c>
      <c r="E57" s="13"/>
      <c r="F57" s="13">
        <f t="shared" si="8"/>
        <v>8.8349412132765899</v>
      </c>
      <c r="G57" s="13">
        <f t="shared" si="7"/>
        <v>21.862920151168776</v>
      </c>
      <c r="H57" s="2"/>
      <c r="I57" s="2"/>
      <c r="J57" s="3">
        <v>2042</v>
      </c>
      <c r="K57" s="3"/>
      <c r="L57" s="3"/>
      <c r="M57" s="18">
        <f>'IPCC IMPs'!F35/1000</f>
        <v>1.8858656900000001</v>
      </c>
      <c r="N57" s="18">
        <f>'IPCC IMPs'!G35/1000</f>
        <v>4.6667578199999999</v>
      </c>
      <c r="O57" s="18">
        <v>8919.3399999999983</v>
      </c>
      <c r="P57" s="12">
        <f t="shared" si="9"/>
        <v>0.77526373737668219</v>
      </c>
      <c r="Q57" s="12">
        <f t="shared" si="6"/>
        <v>1.9184654178448186</v>
      </c>
    </row>
    <row r="58" spans="1:17" ht="16">
      <c r="A58" s="3">
        <v>2043</v>
      </c>
      <c r="D58" s="24">
        <v>11443210</v>
      </c>
      <c r="E58" s="13"/>
      <c r="F58" s="13">
        <f t="shared" si="8"/>
        <v>7.8399710815034105</v>
      </c>
      <c r="G58" s="13">
        <f t="shared" si="7"/>
        <v>20.72824283041761</v>
      </c>
      <c r="H58" s="2"/>
      <c r="I58" s="2"/>
      <c r="J58" s="3">
        <v>2043</v>
      </c>
      <c r="K58" s="3"/>
      <c r="L58" s="3"/>
      <c r="M58" s="18">
        <f>'IPCC IMPs'!F36/1000</f>
        <v>1.6739440999999999</v>
      </c>
      <c r="N58" s="18">
        <f>'IPCC IMPs'!G36/1000</f>
        <v>4.4257713999999995</v>
      </c>
      <c r="O58" s="18">
        <v>8958.7163999999975</v>
      </c>
      <c r="P58" s="12">
        <f t="shared" si="9"/>
        <v>0.68511991665829874</v>
      </c>
      <c r="Q58" s="12">
        <f t="shared" si="6"/>
        <v>1.8114010693168798</v>
      </c>
    </row>
    <row r="59" spans="1:17" ht="16">
      <c r="A59" s="3">
        <v>2044</v>
      </c>
      <c r="D59" s="24">
        <v>11490789</v>
      </c>
      <c r="E59" s="13"/>
      <c r="F59" s="13">
        <f t="shared" si="8"/>
        <v>6.8458104317497739</v>
      </c>
      <c r="G59" s="13">
        <f t="shared" si="7"/>
        <v>19.594940982273297</v>
      </c>
      <c r="H59" s="2"/>
      <c r="I59" s="2"/>
      <c r="J59" s="3">
        <v>2044</v>
      </c>
      <c r="K59" s="3"/>
      <c r="L59" s="3"/>
      <c r="M59" s="18">
        <f>'IPCC IMPs'!F37/1000</f>
        <v>1.4620225</v>
      </c>
      <c r="N59" s="18">
        <f>'IPCC IMPs'!G37/1000</f>
        <v>4.1847849699999999</v>
      </c>
      <c r="O59" s="18">
        <v>8998.0927999999967</v>
      </c>
      <c r="P59" s="12">
        <f t="shared" si="9"/>
        <v>0.59576504552905585</v>
      </c>
      <c r="Q59" s="12">
        <f t="shared" si="6"/>
        <v>1.7052737616427642</v>
      </c>
    </row>
    <row r="60" spans="1:17" ht="16">
      <c r="A60" s="3">
        <v>2045</v>
      </c>
      <c r="D60" s="24">
        <v>11538636</v>
      </c>
      <c r="E60" s="13"/>
      <c r="F60" s="13">
        <f t="shared" si="8"/>
        <v>5.8522671270291902</v>
      </c>
      <c r="G60" s="13">
        <f t="shared" si="7"/>
        <v>18.462639736734626</v>
      </c>
      <c r="H60" s="2"/>
      <c r="I60" s="2"/>
      <c r="J60" s="3">
        <v>2045</v>
      </c>
      <c r="K60" s="3"/>
      <c r="L60" s="3"/>
      <c r="M60" s="18">
        <f>'IPCC IMPs'!F38/1000</f>
        <v>1.2501008999999998</v>
      </c>
      <c r="N60" s="18">
        <f>'IPCC IMPs'!G38/1000</f>
        <v>3.94379854</v>
      </c>
      <c r="O60" s="18">
        <v>9037.4691999999995</v>
      </c>
      <c r="P60" s="12">
        <f t="shared" si="9"/>
        <v>0.50718881564763718</v>
      </c>
      <c r="Q60" s="12">
        <f t="shared" si="6"/>
        <v>1.6000712507730224</v>
      </c>
    </row>
    <row r="61" spans="1:17" ht="16">
      <c r="A61" s="3">
        <v>2046</v>
      </c>
      <c r="D61" s="24">
        <v>11586564</v>
      </c>
      <c r="E61" s="13"/>
      <c r="F61" s="13">
        <f t="shared" si="8"/>
        <v>5.278884848950872</v>
      </c>
      <c r="G61" s="13">
        <f t="shared" si="7"/>
        <v>17.554473198816247</v>
      </c>
      <c r="H61" s="2"/>
      <c r="I61" s="2"/>
      <c r="J61" s="3">
        <v>2046</v>
      </c>
      <c r="K61" s="3"/>
      <c r="L61" s="3"/>
      <c r="M61" s="18">
        <f>'IPCC IMPs'!F39/1000</f>
        <v>1.1268471099999999</v>
      </c>
      <c r="N61" s="18">
        <f>'IPCC IMPs'!G39/1000</f>
        <v>3.7472322199999999</v>
      </c>
      <c r="O61" s="18">
        <v>9068.7807400000002</v>
      </c>
      <c r="P61" s="12">
        <f t="shared" si="9"/>
        <v>0.45560399519226513</v>
      </c>
      <c r="Q61" s="12">
        <f t="shared" si="6"/>
        <v>1.5150715258480638</v>
      </c>
    </row>
    <row r="62" spans="1:17" ht="16">
      <c r="A62" s="3">
        <v>2047</v>
      </c>
      <c r="D62" s="24">
        <v>11634411</v>
      </c>
      <c r="E62" s="13"/>
      <c r="F62" s="13">
        <f t="shared" si="8"/>
        <v>4.7046551304970041</v>
      </c>
      <c r="G62" s="13">
        <f t="shared" si="7"/>
        <v>16.644848395879812</v>
      </c>
      <c r="H62" s="2"/>
      <c r="I62" s="2"/>
      <c r="J62" s="3">
        <v>2047</v>
      </c>
      <c r="K62" s="3"/>
      <c r="L62" s="3"/>
      <c r="M62" s="18">
        <f>'IPCC IMPs'!F40/1000</f>
        <v>1.0035933100000001</v>
      </c>
      <c r="N62" s="18">
        <f>'IPCC IMPs'!G40/1000</f>
        <v>3.5506658900000003</v>
      </c>
      <c r="O62" s="18">
        <v>9100.0922800000008</v>
      </c>
      <c r="P62" s="12">
        <f t="shared" si="9"/>
        <v>0.40437415615599309</v>
      </c>
      <c r="Q62" s="12">
        <f t="shared" si="6"/>
        <v>1.4306567299264064</v>
      </c>
    </row>
    <row r="63" spans="1:17" ht="16">
      <c r="A63" s="3">
        <v>2048</v>
      </c>
      <c r="D63" s="24">
        <v>11682024</v>
      </c>
      <c r="E63" s="13"/>
      <c r="F63" s="13">
        <f t="shared" si="8"/>
        <v>4.129544705451587</v>
      </c>
      <c r="G63" s="13">
        <f t="shared" si="7"/>
        <v>15.733593491849458</v>
      </c>
      <c r="H63" s="2"/>
      <c r="I63" s="2"/>
      <c r="J63" s="3">
        <v>2048</v>
      </c>
      <c r="K63" s="3"/>
      <c r="L63" s="3"/>
      <c r="M63" s="18">
        <f>'IPCC IMPs'!F41/1000</f>
        <v>0.88033951600000004</v>
      </c>
      <c r="N63" s="18">
        <f>'IPCC IMPs'!G41/1000</f>
        <v>3.3540995600000003</v>
      </c>
      <c r="O63" s="18">
        <v>9131.4038200000014</v>
      </c>
      <c r="P63" s="12">
        <f t="shared" si="9"/>
        <v>0.35349565327477389</v>
      </c>
      <c r="Q63" s="12">
        <f t="shared" si="6"/>
        <v>1.3468208498672369</v>
      </c>
    </row>
    <row r="64" spans="1:17" ht="16">
      <c r="A64" s="3">
        <v>2049</v>
      </c>
      <c r="D64" s="24">
        <v>11729092</v>
      </c>
      <c r="E64" s="13"/>
      <c r="F64" s="13">
        <f t="shared" si="8"/>
        <v>3.5535029773629838</v>
      </c>
      <c r="G64" s="13">
        <f t="shared" si="7"/>
        <v>14.82038745135331</v>
      </c>
      <c r="H64" s="2"/>
      <c r="I64" s="2"/>
      <c r="J64" s="3">
        <v>2049</v>
      </c>
      <c r="K64" s="3"/>
      <c r="L64" s="3"/>
      <c r="M64" s="18">
        <f>'IPCC IMPs'!F42/1000</f>
        <v>0.75708572200000002</v>
      </c>
      <c r="N64" s="18">
        <f>'IPCC IMPs'!G42/1000</f>
        <v>3.1575332299999999</v>
      </c>
      <c r="O64" s="18">
        <v>9162.715360000002</v>
      </c>
      <c r="P64" s="12">
        <f t="shared" si="9"/>
        <v>0.30296488230827961</v>
      </c>
      <c r="Q64" s="12">
        <f t="shared" si="6"/>
        <v>1.2635579507222989</v>
      </c>
    </row>
    <row r="65" spans="1:21" ht="16">
      <c r="A65" s="3">
        <v>2050</v>
      </c>
      <c r="D65" s="24">
        <v>11775563</v>
      </c>
      <c r="E65" s="13"/>
      <c r="F65" s="13">
        <f t="shared" si="8"/>
        <v>2.9766066802131754</v>
      </c>
      <c r="G65" s="13">
        <f t="shared" si="7"/>
        <v>13.905317022940318</v>
      </c>
      <c r="H65" s="2"/>
      <c r="I65" s="2"/>
      <c r="J65" s="3">
        <v>2050</v>
      </c>
      <c r="K65" s="3"/>
      <c r="L65" s="3"/>
      <c r="M65" s="18">
        <f>'IPCC IMPs'!F43/1000</f>
        <v>0.63383192699999991</v>
      </c>
      <c r="N65" s="18">
        <f>'IPCC IMPs'!G43/1000</f>
        <v>2.9609669100000002</v>
      </c>
      <c r="O65" s="18">
        <v>9194.0269000000008</v>
      </c>
      <c r="P65" s="12">
        <f t="shared" si="9"/>
        <v>0.25277829010920116</v>
      </c>
      <c r="Q65" s="12">
        <f t="shared" si="6"/>
        <v>1.1808621823806063</v>
      </c>
    </row>
    <row r="66" spans="1:21" ht="16">
      <c r="A66" s="3"/>
      <c r="E66" t="s">
        <v>35</v>
      </c>
      <c r="G66" s="2"/>
      <c r="H66" s="2"/>
      <c r="I66" s="2"/>
      <c r="J66" s="3"/>
      <c r="K66" s="3"/>
      <c r="L66" s="3"/>
      <c r="R66" s="12"/>
      <c r="S66" s="12"/>
    </row>
    <row r="67" spans="1:21" ht="16">
      <c r="A67" s="3"/>
      <c r="C67" t="s">
        <v>34</v>
      </c>
      <c r="E67" t="s">
        <v>36</v>
      </c>
      <c r="G67" s="2"/>
      <c r="H67" s="2"/>
      <c r="I67" s="2"/>
      <c r="J67" s="3"/>
      <c r="K67" s="3"/>
      <c r="L67" s="3"/>
      <c r="R67" s="12"/>
      <c r="S67" s="12"/>
    </row>
    <row r="68" spans="1:21" ht="16">
      <c r="A68" s="3"/>
      <c r="C68" t="s">
        <v>12</v>
      </c>
      <c r="F68" t="s">
        <v>12</v>
      </c>
      <c r="G68" s="2"/>
      <c r="H68" s="2"/>
      <c r="I68" s="2"/>
      <c r="J68" s="3"/>
      <c r="K68" s="3"/>
      <c r="L68" s="3"/>
      <c r="R68" s="12"/>
      <c r="S68" s="12"/>
    </row>
    <row r="69" spans="1:21" ht="16">
      <c r="B69" t="s">
        <v>7</v>
      </c>
      <c r="C69" s="4">
        <f>SUM(C5:C65)</f>
        <v>2448.4409808397991</v>
      </c>
      <c r="E69" t="s">
        <v>28</v>
      </c>
      <c r="F69" s="15">
        <f>SUM(D5:D65)/1000000*SUM(M5:M65)*44/12/SUM(O5:O65)*1000</f>
        <v>2072.9637313528174</v>
      </c>
      <c r="G69" s="15">
        <f>SUM(D5:D65)/1000000*SUM(N5:N65)*44/12/SUM(O5:O65)*1000</f>
        <v>2445.5113116583516</v>
      </c>
      <c r="I69" s="2"/>
      <c r="R69" s="12"/>
      <c r="S69" s="12"/>
    </row>
    <row r="70" spans="1:21" ht="16">
      <c r="B70" t="s">
        <v>8</v>
      </c>
      <c r="C70" s="4">
        <f>SUM(C15:C65)</f>
        <v>1589.8103858393008</v>
      </c>
      <c r="E70" t="s">
        <v>29</v>
      </c>
      <c r="F70" s="15">
        <f>SUM(D15:D65)/1000000*SUM(M15:M65)*44/12/SUM(O15:O65)*1000</f>
        <v>1655.8262314746887</v>
      </c>
      <c r="G70" s="15">
        <f>SUM(D15:D65)/1000000*SUM(N15:N65)*44/12/SUM(O15:O65)*1000</f>
        <v>2020.7570182658983</v>
      </c>
      <c r="I70" s="2"/>
      <c r="R70" s="12"/>
      <c r="S70" s="12"/>
    </row>
    <row r="71" spans="1:21" ht="16">
      <c r="B71" t="s">
        <v>9</v>
      </c>
      <c r="C71" s="4">
        <f>SUM(C25:C65)</f>
        <v>745.53770746280281</v>
      </c>
      <c r="E71" t="s">
        <v>30</v>
      </c>
      <c r="F71" s="15">
        <f>SUM(D25:D65)/1000000*SUM(M25:M65)*44/12/SUM(O25:O65)*1000</f>
        <v>1202.3999199087718</v>
      </c>
      <c r="G71" s="15">
        <f>SUM(D25:D65)/1000000*SUM(N25:N65)*44/12/SUM(O25:O65)*1000</f>
        <v>1563.2458680316843</v>
      </c>
      <c r="I71" s="2"/>
      <c r="R71" s="12"/>
      <c r="S71" s="12"/>
    </row>
    <row r="72" spans="1:21" ht="16">
      <c r="E72" t="s">
        <v>54</v>
      </c>
      <c r="F72" s="4">
        <f>SUM(F35:F65)</f>
        <v>686.6687902662801</v>
      </c>
      <c r="G72" s="4">
        <f>SUM(G35:G65)</f>
        <v>1042.6761114332717</v>
      </c>
      <c r="H72" s="2"/>
      <c r="I72" s="2"/>
      <c r="R72" s="12"/>
      <c r="S72" s="12"/>
    </row>
    <row r="73" spans="1:21" ht="16">
      <c r="H73" s="2"/>
      <c r="I73" s="2"/>
      <c r="R73" s="12"/>
      <c r="S73" s="12"/>
    </row>
    <row r="74" spans="1:21" ht="16">
      <c r="H74" s="2"/>
      <c r="I74" s="2"/>
      <c r="R74" s="12"/>
      <c r="S74" s="12"/>
    </row>
    <row r="75" spans="1:21" ht="48">
      <c r="D75" s="20" t="s">
        <v>37</v>
      </c>
      <c r="E75" s="20" t="s">
        <v>77</v>
      </c>
      <c r="F75" s="20" t="s">
        <v>78</v>
      </c>
      <c r="G75" s="5"/>
      <c r="H75" s="5"/>
      <c r="I75" s="5"/>
      <c r="J75" t="s">
        <v>42</v>
      </c>
      <c r="R75" s="12"/>
      <c r="S75" s="12"/>
      <c r="T75" s="5"/>
    </row>
    <row r="76" spans="1:21" ht="32">
      <c r="E76" t="s">
        <v>12</v>
      </c>
      <c r="F76" t="s">
        <v>12</v>
      </c>
      <c r="J76" s="20" t="s">
        <v>40</v>
      </c>
      <c r="K76" s="20" t="s">
        <v>41</v>
      </c>
      <c r="M76" t="s">
        <v>39</v>
      </c>
      <c r="N76" t="s">
        <v>43</v>
      </c>
      <c r="R76" s="12"/>
      <c r="S76" s="12"/>
    </row>
    <row r="77" spans="1:21">
      <c r="D77" s="8">
        <v>1990</v>
      </c>
      <c r="E77" s="14">
        <f>F69-C69</f>
        <v>-375.47724948698169</v>
      </c>
      <c r="F77" s="14">
        <f>G69-C69</f>
        <v>-2.9296691814474798</v>
      </c>
      <c r="G77" s="12"/>
      <c r="I77">
        <v>1990</v>
      </c>
      <c r="J77" s="9">
        <f>E77/$C$34*2</f>
        <v>-11.053448836033169</v>
      </c>
      <c r="K77" s="9">
        <f>2019+J77</f>
        <v>2007.9465511639669</v>
      </c>
      <c r="L77" s="16"/>
      <c r="M77" s="17">
        <f>(0-$C$34)/($A$34-K77)/$C$34</f>
        <v>-9.0469500952508344E-2</v>
      </c>
      <c r="N77" s="17">
        <f t="shared" ref="N77:N81" si="10">M77*2</f>
        <v>-0.18093900190501669</v>
      </c>
      <c r="R77" s="12"/>
      <c r="S77" s="12"/>
      <c r="T77" s="4"/>
      <c r="U77" s="4"/>
    </row>
    <row r="78" spans="1:21">
      <c r="D78" s="8">
        <v>2000</v>
      </c>
      <c r="E78" s="14">
        <f>F70-C70</f>
        <v>66.015845635387905</v>
      </c>
      <c r="F78" s="14">
        <f>G70-C70</f>
        <v>430.94663242659749</v>
      </c>
      <c r="G78" s="12"/>
      <c r="I78">
        <v>2000</v>
      </c>
      <c r="J78" s="9">
        <f>E78/$C$34*2</f>
        <v>1.9434007602197576</v>
      </c>
      <c r="K78" s="9">
        <f t="shared" ref="K78:K81" si="11">2019+J78</f>
        <v>2020.9434007602197</v>
      </c>
      <c r="L78" s="16"/>
      <c r="M78" s="17">
        <f>(0-$C$34)/($A$34-K78)/$C$34</f>
        <v>0.51456190635994392</v>
      </c>
      <c r="N78" s="17">
        <f t="shared" si="10"/>
        <v>1.0291238127198878</v>
      </c>
      <c r="R78" s="12"/>
      <c r="S78" s="12"/>
      <c r="T78" s="4"/>
      <c r="U78" s="4"/>
    </row>
    <row r="79" spans="1:21">
      <c r="D79" s="8">
        <v>2010</v>
      </c>
      <c r="E79" s="14">
        <f>F71-C71</f>
        <v>456.86221244596902</v>
      </c>
      <c r="F79" s="14">
        <f>G71-C71</f>
        <v>817.70816056888145</v>
      </c>
      <c r="G79" s="12"/>
      <c r="I79">
        <v>2010</v>
      </c>
      <c r="J79" s="9">
        <f>E79/$C$34*2</f>
        <v>13.449291794078517</v>
      </c>
      <c r="K79" s="9">
        <f t="shared" si="11"/>
        <v>2032.4492917940786</v>
      </c>
      <c r="L79" s="16"/>
      <c r="M79" s="17">
        <f t="shared" ref="M79:M81" si="12">(0-$C$34)/($A$34-K79)/$C$34</f>
        <v>7.43533574340529E-2</v>
      </c>
      <c r="N79" s="17">
        <f t="shared" si="10"/>
        <v>0.1487067148681058</v>
      </c>
      <c r="R79" s="12"/>
      <c r="S79" s="12"/>
      <c r="T79" s="4"/>
      <c r="U79" s="4"/>
    </row>
    <row r="80" spans="1:21">
      <c r="D80" s="8" t="s">
        <v>1</v>
      </c>
      <c r="E80" s="14">
        <f>F72-C72</f>
        <v>686.6687902662801</v>
      </c>
      <c r="F80" s="14">
        <f>G72-C72</f>
        <v>1042.6761114332717</v>
      </c>
      <c r="I80" t="s">
        <v>1</v>
      </c>
      <c r="J80" s="9">
        <f>E80/$C$34*2</f>
        <v>20.214429371898007</v>
      </c>
      <c r="K80" s="9">
        <f t="shared" si="11"/>
        <v>2039.2144293718979</v>
      </c>
      <c r="L80" s="16"/>
      <c r="M80" s="17">
        <f t="shared" si="12"/>
        <v>4.9469613096781134E-2</v>
      </c>
      <c r="N80" s="17">
        <f t="shared" si="10"/>
        <v>9.8939226193562269E-2</v>
      </c>
      <c r="R80" s="12"/>
      <c r="S80" s="12"/>
      <c r="T80" s="4"/>
      <c r="U80" s="4"/>
    </row>
    <row r="81" spans="4:24">
      <c r="D81" s="8" t="s">
        <v>2</v>
      </c>
      <c r="E81" s="14">
        <f>'Economic capacity'!L6</f>
        <v>214.60750796709743</v>
      </c>
      <c r="F81" s="14">
        <f>'Economic capacity'!M6</f>
        <v>325.77723060236667</v>
      </c>
      <c r="I81" t="s">
        <v>2</v>
      </c>
      <c r="J81" s="9">
        <f>E81/$C$34*2</f>
        <v>6.3177013051629327</v>
      </c>
      <c r="K81" s="9">
        <f t="shared" si="11"/>
        <v>2025.3177013051629</v>
      </c>
      <c r="L81" s="16"/>
      <c r="M81" s="17">
        <f t="shared" si="12"/>
        <v>0.15828541928419185</v>
      </c>
      <c r="N81" s="17">
        <f t="shared" si="10"/>
        <v>0.31657083856838369</v>
      </c>
      <c r="R81" s="12"/>
      <c r="S81" s="12"/>
      <c r="T81" s="4"/>
    </row>
    <row r="82" spans="4:24" ht="16">
      <c r="M82" s="2"/>
      <c r="N82" s="6"/>
      <c r="O82" s="6"/>
      <c r="P82" s="6"/>
      <c r="Q82" s="6"/>
      <c r="R82" s="12"/>
      <c r="S82" s="12"/>
      <c r="V82" s="4"/>
      <c r="W82" s="4"/>
      <c r="X82" s="4"/>
    </row>
    <row r="83" spans="4:24" ht="16">
      <c r="H83" s="2"/>
      <c r="I83" s="2"/>
      <c r="J83" s="2"/>
      <c r="K83" s="2"/>
      <c r="L83" s="2"/>
      <c r="M83" s="7"/>
      <c r="R83" s="12"/>
      <c r="S83" s="12"/>
    </row>
    <row r="84" spans="4:24" ht="16">
      <c r="H84" s="2"/>
      <c r="I84" s="2"/>
      <c r="J84" s="2"/>
      <c r="K84" s="2"/>
      <c r="L84" s="2"/>
      <c r="R84" s="12"/>
      <c r="S84" s="12"/>
    </row>
    <row r="85" spans="4:24" ht="16">
      <c r="H85" s="2"/>
      <c r="I85" s="2"/>
      <c r="J85" s="2"/>
      <c r="K85" s="2"/>
      <c r="L85" s="2"/>
      <c r="R85" s="12"/>
      <c r="S85" s="12"/>
    </row>
    <row r="86" spans="4:24" ht="16">
      <c r="H86" s="2"/>
      <c r="I86" s="2"/>
      <c r="J86" s="2"/>
      <c r="K86" s="2"/>
      <c r="L86" s="2"/>
      <c r="R86" s="12"/>
      <c r="S86" s="12"/>
    </row>
    <row r="87" spans="4:24" ht="16">
      <c r="H87" s="2"/>
      <c r="I87" s="2"/>
      <c r="J87" s="2"/>
      <c r="K87" s="2"/>
      <c r="L87" s="2"/>
      <c r="R87" s="12"/>
      <c r="S87" s="12"/>
    </row>
    <row r="88" spans="4:24" ht="16">
      <c r="H88" s="2"/>
      <c r="I88" s="2"/>
      <c r="J88" s="2"/>
      <c r="K88" s="2"/>
      <c r="L88" s="2"/>
      <c r="R88" s="12"/>
      <c r="S88" s="12"/>
    </row>
    <row r="89" spans="4:24" ht="16">
      <c r="H89" s="2"/>
      <c r="I89" s="2"/>
      <c r="J89" s="2"/>
      <c r="K89" s="2"/>
      <c r="L89" s="2"/>
      <c r="R89" s="12"/>
      <c r="S89" s="12"/>
    </row>
    <row r="90" spans="4:24" ht="16">
      <c r="H90" s="2"/>
      <c r="I90" s="2"/>
      <c r="J90" s="2"/>
      <c r="K90" s="2"/>
      <c r="L90" s="2"/>
      <c r="R90" s="12"/>
      <c r="S90" s="12"/>
    </row>
    <row r="91" spans="4:24" ht="16">
      <c r="H91" s="2"/>
      <c r="I91" s="2"/>
      <c r="J91" s="2"/>
      <c r="K91" s="2"/>
      <c r="L91" s="2"/>
      <c r="R91" s="12"/>
      <c r="S91" s="12"/>
    </row>
    <row r="92" spans="4:24" ht="16">
      <c r="H92" s="2"/>
      <c r="I92" s="2"/>
      <c r="J92" s="2"/>
      <c r="K92" s="2"/>
      <c r="L92" s="2"/>
      <c r="R92" s="12"/>
      <c r="S92" s="12"/>
    </row>
    <row r="93" spans="4:24" ht="16">
      <c r="H93" s="2"/>
      <c r="I93" s="2"/>
      <c r="J93" s="2"/>
      <c r="K93" s="2"/>
      <c r="L93" s="2"/>
      <c r="R93" s="12"/>
      <c r="S93" s="12"/>
    </row>
    <row r="94" spans="4:24" ht="16">
      <c r="H94" s="2"/>
      <c r="I94" s="2"/>
      <c r="J94" s="2"/>
      <c r="K94" s="2"/>
      <c r="L94" s="2"/>
      <c r="R94" s="12"/>
      <c r="S94" s="12"/>
    </row>
    <row r="95" spans="4:24" ht="16">
      <c r="H95" s="2"/>
      <c r="I95" s="2"/>
      <c r="J95" s="2"/>
      <c r="K95" s="2"/>
      <c r="L95" s="2"/>
      <c r="R95" s="12"/>
      <c r="S95" s="12"/>
    </row>
    <row r="96" spans="4:24" ht="16">
      <c r="H96" s="2"/>
      <c r="I96" s="2"/>
      <c r="J96" s="2"/>
      <c r="K96" s="2"/>
      <c r="L96" s="2"/>
      <c r="R96" s="12"/>
      <c r="S96" s="12"/>
    </row>
    <row r="97" spans="8:19" ht="16">
      <c r="H97" s="2"/>
      <c r="I97" s="2"/>
      <c r="J97" s="2"/>
      <c r="K97" s="2"/>
      <c r="L97" s="2"/>
      <c r="R97" s="12"/>
      <c r="S97" s="12"/>
    </row>
    <row r="98" spans="8:19" ht="16">
      <c r="H98" s="2"/>
      <c r="I98" s="2"/>
      <c r="J98" s="2"/>
      <c r="K98" s="2"/>
      <c r="L98" s="2"/>
      <c r="R98" s="12"/>
      <c r="S98" s="12"/>
    </row>
    <row r="99" spans="8:19" ht="16">
      <c r="H99" s="2"/>
      <c r="I99" s="2"/>
      <c r="J99" s="2"/>
      <c r="K99" s="2"/>
      <c r="L99" s="2"/>
      <c r="R99" s="12"/>
      <c r="S99" s="12"/>
    </row>
    <row r="100" spans="8:19" ht="16">
      <c r="H100" s="2"/>
      <c r="I100" s="2"/>
      <c r="J100" s="2"/>
      <c r="K100" s="2"/>
      <c r="L100" s="2"/>
    </row>
    <row r="101" spans="8:19" ht="16">
      <c r="H101" s="2"/>
      <c r="I101" s="2"/>
      <c r="J101" s="2"/>
      <c r="K101" s="2"/>
      <c r="L101" s="2"/>
    </row>
    <row r="102" spans="8:19" ht="16">
      <c r="H102" s="2"/>
      <c r="I102" s="2"/>
      <c r="J102" s="2"/>
      <c r="K102" s="2"/>
      <c r="L102" s="2"/>
    </row>
    <row r="103" spans="8:19" ht="16">
      <c r="H103" s="2"/>
      <c r="I103" s="2"/>
      <c r="J103" s="2"/>
      <c r="K103" s="2"/>
      <c r="L103" s="2"/>
    </row>
    <row r="104" spans="8:19" ht="16">
      <c r="H104" s="2"/>
      <c r="I104" s="2"/>
      <c r="J104" s="2"/>
      <c r="K104" s="2"/>
      <c r="L104" s="2"/>
    </row>
    <row r="105" spans="8:19" ht="16">
      <c r="H105" s="2"/>
      <c r="I105" s="2"/>
      <c r="J105" s="2"/>
      <c r="K105" s="2"/>
      <c r="L105" s="2"/>
    </row>
    <row r="106" spans="8:19" ht="16">
      <c r="H106" s="2"/>
      <c r="I106" s="2"/>
      <c r="J106" s="2"/>
      <c r="K106" s="2"/>
      <c r="L106" s="2"/>
    </row>
    <row r="107" spans="8:19" ht="16">
      <c r="H107" s="2"/>
      <c r="I107" s="2"/>
      <c r="J107" s="2"/>
      <c r="K107" s="2"/>
      <c r="L107" s="2"/>
    </row>
    <row r="108" spans="8:19" ht="16">
      <c r="H108" s="2"/>
      <c r="I108" s="2"/>
      <c r="J108" s="2"/>
      <c r="K108" s="2"/>
      <c r="L108" s="2"/>
    </row>
    <row r="109" spans="8:19" ht="16">
      <c r="H109" s="2"/>
      <c r="I109" s="2"/>
      <c r="J109" s="2"/>
      <c r="K109" s="2"/>
      <c r="L109" s="2"/>
    </row>
    <row r="110" spans="8:19" ht="16">
      <c r="H110" s="2"/>
      <c r="I110" s="2"/>
      <c r="J110" s="2"/>
      <c r="K110" s="2"/>
      <c r="L110" s="2"/>
    </row>
    <row r="111" spans="8:19" ht="16">
      <c r="H111" s="2"/>
      <c r="I111" s="2"/>
      <c r="J111" s="2"/>
      <c r="K111" s="2"/>
      <c r="L111" s="2"/>
    </row>
    <row r="112" spans="8:19" ht="16">
      <c r="H112" s="2"/>
      <c r="I112" s="2"/>
      <c r="J112" s="2"/>
      <c r="K112" s="2"/>
      <c r="L112" s="2"/>
    </row>
    <row r="113" spans="8:12" ht="16">
      <c r="H113" s="2"/>
      <c r="I113" s="2"/>
      <c r="J113" s="2"/>
      <c r="K113" s="2"/>
      <c r="L113" s="2"/>
    </row>
    <row r="114" spans="8:12" ht="16">
      <c r="H114" s="2"/>
      <c r="I114" s="2"/>
      <c r="J114" s="2"/>
      <c r="K114" s="2"/>
      <c r="L114" s="2"/>
    </row>
    <row r="115" spans="8:12" ht="16">
      <c r="H115" s="2"/>
      <c r="I115" s="2"/>
      <c r="J115" s="2"/>
      <c r="K115" s="2"/>
      <c r="L115" s="2"/>
    </row>
    <row r="116" spans="8:12" ht="16">
      <c r="H116" s="2"/>
      <c r="I116" s="2"/>
      <c r="J116" s="2"/>
      <c r="K116" s="2"/>
      <c r="L116" s="2"/>
    </row>
    <row r="117" spans="8:12" ht="16">
      <c r="H117" s="2"/>
      <c r="I117" s="2"/>
      <c r="J117" s="2"/>
      <c r="K117" s="2"/>
      <c r="L117" s="2"/>
    </row>
    <row r="118" spans="8:12" ht="16">
      <c r="H118" s="2"/>
      <c r="I118" s="2"/>
      <c r="J118" s="2"/>
      <c r="K118" s="2"/>
      <c r="L118" s="2"/>
    </row>
    <row r="119" spans="8:12" ht="16">
      <c r="H119" s="2"/>
      <c r="I119" s="2"/>
      <c r="J119" s="2"/>
      <c r="K119" s="2"/>
      <c r="L119" s="2"/>
    </row>
    <row r="120" spans="8:12" ht="16">
      <c r="H120" s="2"/>
      <c r="I120" s="2"/>
      <c r="J120" s="2"/>
      <c r="K120" s="2"/>
      <c r="L120" s="2"/>
    </row>
    <row r="121" spans="8:12" ht="16">
      <c r="H121" s="2"/>
      <c r="I121" s="2"/>
      <c r="J121" s="2"/>
      <c r="K121" s="2"/>
      <c r="L121" s="2"/>
    </row>
    <row r="122" spans="8:12" ht="16">
      <c r="H122" s="2"/>
      <c r="I122" s="2"/>
      <c r="J122" s="2"/>
      <c r="K122" s="2"/>
      <c r="L122" s="2"/>
    </row>
    <row r="123" spans="8:12" ht="16">
      <c r="H123" s="2"/>
      <c r="I123" s="2"/>
      <c r="J123" s="2"/>
      <c r="K123" s="2"/>
      <c r="L123" s="2"/>
    </row>
    <row r="124" spans="8:12" ht="16">
      <c r="H124" s="2"/>
      <c r="I124" s="2"/>
      <c r="J124" s="2"/>
      <c r="K124" s="2"/>
      <c r="L124" s="2"/>
    </row>
    <row r="125" spans="8:12" ht="16">
      <c r="H125" s="2"/>
      <c r="I125" s="2"/>
      <c r="J125" s="2"/>
      <c r="K125" s="2"/>
      <c r="L125" s="2"/>
    </row>
    <row r="126" spans="8:12" ht="16">
      <c r="H126" s="2"/>
      <c r="I126" s="2"/>
      <c r="J126" s="2"/>
      <c r="K126" s="2"/>
      <c r="L126" s="2"/>
    </row>
    <row r="127" spans="8:12" ht="16">
      <c r="H127" s="2"/>
      <c r="I127" s="2"/>
      <c r="J127" s="2"/>
      <c r="K127" s="2"/>
      <c r="L127" s="2"/>
    </row>
    <row r="128" spans="8:12" ht="16">
      <c r="H128" s="2"/>
      <c r="I128" s="2"/>
      <c r="J128" s="2"/>
      <c r="K128" s="2"/>
      <c r="L128" s="2"/>
    </row>
    <row r="129" spans="8:12" ht="16">
      <c r="H129" s="2"/>
      <c r="I129" s="2"/>
      <c r="J129" s="2"/>
      <c r="K129" s="2"/>
      <c r="L129" s="2"/>
    </row>
    <row r="130" spans="8:12" ht="16">
      <c r="H130" s="2"/>
      <c r="I130" s="2"/>
      <c r="J130" s="2"/>
      <c r="K130" s="2"/>
      <c r="L130" s="2"/>
    </row>
    <row r="131" spans="8:12" ht="16">
      <c r="H131" s="2"/>
      <c r="I131" s="2"/>
      <c r="J131" s="2"/>
      <c r="K131" s="2"/>
      <c r="L131" s="2"/>
    </row>
    <row r="132" spans="8:12" ht="16">
      <c r="H132" s="2"/>
      <c r="I132" s="2"/>
      <c r="J132" s="2"/>
      <c r="K132" s="2"/>
      <c r="L132" s="2"/>
    </row>
    <row r="133" spans="8:12" ht="16">
      <c r="H133" s="2"/>
      <c r="I133" s="2"/>
      <c r="J133" s="2"/>
      <c r="K133" s="2"/>
      <c r="L133" s="2"/>
    </row>
    <row r="134" spans="8:12" ht="16">
      <c r="H134" s="2"/>
      <c r="I134" s="2"/>
      <c r="J134" s="2"/>
      <c r="K134" s="2"/>
      <c r="L134" s="2"/>
    </row>
    <row r="135" spans="8:12" ht="16">
      <c r="H135" s="2"/>
      <c r="I135" s="2"/>
      <c r="J135" s="2"/>
      <c r="K135" s="2"/>
      <c r="L135" s="2"/>
    </row>
    <row r="136" spans="8:12" ht="16">
      <c r="H136" s="2"/>
      <c r="I136" s="2"/>
      <c r="J136" s="2"/>
      <c r="K136" s="2"/>
      <c r="L136" s="2"/>
    </row>
    <row r="137" spans="8:12" ht="16">
      <c r="H137" s="2"/>
      <c r="I137" s="2"/>
      <c r="J137" s="2"/>
      <c r="K137" s="2"/>
      <c r="L137" s="2"/>
    </row>
    <row r="138" spans="8:12" ht="16">
      <c r="H138" s="2"/>
      <c r="I138" s="2"/>
      <c r="J138" s="2"/>
      <c r="K138" s="2"/>
      <c r="L138" s="2"/>
    </row>
    <row r="139" spans="8:12" ht="16">
      <c r="H139" s="2"/>
      <c r="I139" s="2"/>
      <c r="J139" s="2"/>
      <c r="K139" s="2"/>
      <c r="L139" s="2"/>
    </row>
    <row r="140" spans="8:12" ht="16">
      <c r="H140" s="2"/>
      <c r="I140" s="2"/>
      <c r="J140" s="2"/>
      <c r="K140" s="2"/>
      <c r="L140" s="2"/>
    </row>
    <row r="141" spans="8:12" ht="16">
      <c r="H141" s="2"/>
      <c r="I141" s="2"/>
      <c r="J141" s="2"/>
      <c r="K141" s="2"/>
      <c r="L141" s="2"/>
    </row>
    <row r="142" spans="8:12" ht="16">
      <c r="H142" s="2"/>
      <c r="I142" s="2"/>
      <c r="J142" s="2"/>
      <c r="K142" s="2"/>
      <c r="L142" s="2"/>
    </row>
    <row r="143" spans="8:12" ht="16">
      <c r="H143" s="2"/>
      <c r="I143" s="2"/>
      <c r="J143" s="2"/>
      <c r="K143" s="2"/>
      <c r="L143" s="2"/>
    </row>
    <row r="144" spans="8:12" ht="16">
      <c r="H144" s="2"/>
      <c r="I144" s="2"/>
      <c r="J144" s="2"/>
      <c r="K144" s="2"/>
      <c r="L144" s="2"/>
    </row>
    <row r="145" spans="8:12" ht="16">
      <c r="H145" s="2"/>
      <c r="I145" s="2"/>
      <c r="J145" s="2"/>
      <c r="K145" s="2"/>
      <c r="L145" s="2"/>
    </row>
    <row r="146" spans="8:12" ht="16">
      <c r="H146" s="2"/>
      <c r="I146" s="2"/>
      <c r="J146" s="2"/>
      <c r="K146" s="2"/>
      <c r="L146" s="2"/>
    </row>
    <row r="147" spans="8:12" ht="16">
      <c r="H147" s="2"/>
      <c r="I147" s="2"/>
      <c r="J147" s="2"/>
      <c r="K147" s="2"/>
      <c r="L147" s="2"/>
    </row>
    <row r="148" spans="8:12" ht="16">
      <c r="H148" s="2"/>
      <c r="I148" s="2"/>
      <c r="J148" s="2"/>
      <c r="K148" s="2"/>
      <c r="L148" s="2"/>
    </row>
    <row r="149" spans="8:12" ht="16">
      <c r="H149" s="2"/>
      <c r="I149" s="2"/>
      <c r="J149" s="2"/>
      <c r="K149" s="2"/>
      <c r="L149" s="2"/>
    </row>
    <row r="150" spans="8:12" ht="16">
      <c r="H150" s="2"/>
      <c r="I150" s="2"/>
      <c r="J150" s="2"/>
      <c r="K150" s="2"/>
      <c r="L150" s="2"/>
    </row>
    <row r="151" spans="8:12" ht="16">
      <c r="H151" s="2"/>
      <c r="I151" s="2"/>
      <c r="J151" s="2"/>
      <c r="K151" s="2"/>
      <c r="L151" s="2"/>
    </row>
    <row r="152" spans="8:12" ht="16">
      <c r="H152" s="2"/>
      <c r="I152" s="2"/>
      <c r="J152" s="2"/>
      <c r="K152" s="2"/>
      <c r="L152" s="2"/>
    </row>
    <row r="153" spans="8:12" ht="16">
      <c r="H153" s="2"/>
      <c r="I153" s="2"/>
      <c r="J153" s="2"/>
      <c r="K153" s="2"/>
      <c r="L153" s="2"/>
    </row>
    <row r="154" spans="8:12" ht="16">
      <c r="H154" s="2"/>
      <c r="I154" s="2"/>
      <c r="J154" s="2"/>
      <c r="K154" s="2"/>
      <c r="L154" s="2"/>
    </row>
    <row r="155" spans="8:12" ht="16">
      <c r="H155" s="2"/>
      <c r="I155" s="2"/>
      <c r="J155" s="2"/>
      <c r="K155" s="2"/>
      <c r="L155" s="2"/>
    </row>
    <row r="156" spans="8:12" ht="16">
      <c r="H156" s="2"/>
      <c r="I156" s="2"/>
      <c r="J156" s="2"/>
      <c r="K156" s="2"/>
      <c r="L156" s="2"/>
    </row>
    <row r="157" spans="8:12" ht="16">
      <c r="H157" s="2"/>
      <c r="I157" s="2"/>
      <c r="J157" s="2"/>
      <c r="K157" s="2"/>
      <c r="L157" s="2"/>
    </row>
    <row r="158" spans="8:12" ht="16">
      <c r="H158" s="2"/>
      <c r="I158" s="2"/>
      <c r="J158" s="2"/>
      <c r="K158" s="2"/>
      <c r="L158" s="2"/>
    </row>
    <row r="159" spans="8:12" ht="16">
      <c r="H159" s="2"/>
      <c r="I159" s="2"/>
      <c r="J159" s="2"/>
      <c r="K159" s="2"/>
      <c r="L159" s="2"/>
    </row>
    <row r="160" spans="8:12" ht="16">
      <c r="H160" s="2"/>
      <c r="I160" s="2"/>
      <c r="J160" s="2"/>
      <c r="K160" s="2"/>
      <c r="L160" s="2"/>
    </row>
    <row r="161" spans="8:12" ht="16">
      <c r="H161" s="2"/>
      <c r="I161" s="2"/>
      <c r="J161" s="2"/>
      <c r="K161" s="2"/>
      <c r="L161" s="2"/>
    </row>
    <row r="162" spans="8:12" ht="16">
      <c r="H162" s="2"/>
      <c r="I162" s="2"/>
      <c r="J162" s="2"/>
      <c r="K162" s="2"/>
      <c r="L162" s="2"/>
    </row>
    <row r="163" spans="8:12" ht="16">
      <c r="H163" s="2"/>
      <c r="I163" s="2"/>
      <c r="J163" s="2"/>
      <c r="K163" s="2"/>
      <c r="L163" s="2"/>
    </row>
    <row r="164" spans="8:12" ht="16">
      <c r="H164" s="2"/>
      <c r="I164" s="2"/>
      <c r="J164" s="2"/>
      <c r="K164" s="2"/>
      <c r="L164" s="2"/>
    </row>
    <row r="165" spans="8:12" ht="16">
      <c r="H165" s="2"/>
      <c r="I165" s="2"/>
      <c r="J165" s="2"/>
      <c r="K165" s="2"/>
      <c r="L165" s="2"/>
    </row>
    <row r="166" spans="8:12" ht="16">
      <c r="H166" s="2"/>
      <c r="I166" s="2"/>
      <c r="J166" s="2"/>
      <c r="K166" s="2"/>
      <c r="L166" s="2"/>
    </row>
    <row r="167" spans="8:12" ht="16">
      <c r="H167" s="2"/>
      <c r="I167" s="2"/>
      <c r="J167" s="2"/>
      <c r="K167" s="2"/>
      <c r="L167" s="2"/>
    </row>
    <row r="168" spans="8:12" ht="16">
      <c r="H168" s="2"/>
      <c r="I168" s="2"/>
      <c r="J168" s="2"/>
      <c r="K168" s="2"/>
      <c r="L168" s="2"/>
    </row>
    <row r="169" spans="8:12" ht="16">
      <c r="H169" s="2"/>
      <c r="I169" s="2"/>
      <c r="J169" s="2"/>
      <c r="K169" s="2"/>
      <c r="L169" s="2"/>
    </row>
    <row r="170" spans="8:12" ht="16">
      <c r="H170" s="2"/>
      <c r="I170" s="2"/>
      <c r="J170" s="2"/>
      <c r="K170" s="2"/>
      <c r="L170" s="2"/>
    </row>
    <row r="171" spans="8:12" ht="16">
      <c r="H171" s="2"/>
      <c r="I171" s="2"/>
      <c r="J171" s="2"/>
      <c r="K171" s="2"/>
      <c r="L171" s="2"/>
    </row>
    <row r="172" spans="8:12" ht="16">
      <c r="H172" s="2"/>
      <c r="I172" s="2"/>
      <c r="J172" s="2"/>
      <c r="K172" s="2"/>
      <c r="L172" s="2"/>
    </row>
    <row r="173" spans="8:12" ht="16">
      <c r="H173" s="2"/>
      <c r="I173" s="2"/>
      <c r="J173" s="2"/>
      <c r="K173" s="2"/>
      <c r="L173" s="2"/>
    </row>
    <row r="174" spans="8:12" ht="16">
      <c r="H174" s="2"/>
      <c r="I174" s="2"/>
      <c r="J174" s="2"/>
      <c r="K174" s="2"/>
      <c r="L174" s="2"/>
    </row>
    <row r="175" spans="8:12" ht="16">
      <c r="H175" s="2"/>
      <c r="I175" s="2"/>
      <c r="J175" s="2"/>
      <c r="K175" s="2"/>
      <c r="L175" s="2"/>
    </row>
    <row r="176" spans="8:12" ht="16">
      <c r="H176" s="2"/>
      <c r="I176" s="2"/>
      <c r="J176" s="2"/>
      <c r="K176" s="2"/>
      <c r="L176" s="2"/>
    </row>
    <row r="177" spans="8:12" ht="16">
      <c r="H177" s="2"/>
      <c r="I177" s="2"/>
      <c r="J177" s="2"/>
      <c r="K177" s="2"/>
      <c r="L177" s="2"/>
    </row>
    <row r="178" spans="8:12" ht="16">
      <c r="H178" s="2"/>
      <c r="I178" s="2"/>
      <c r="J178" s="2"/>
      <c r="K178" s="2"/>
      <c r="L178" s="2"/>
    </row>
    <row r="179" spans="8:12" ht="16">
      <c r="H179" s="2"/>
      <c r="I179" s="2"/>
      <c r="J179" s="2"/>
      <c r="K179" s="2"/>
      <c r="L179" s="2"/>
    </row>
    <row r="180" spans="8:12" ht="16">
      <c r="H180" s="2"/>
      <c r="I180" s="2"/>
      <c r="J180" s="2"/>
      <c r="K180" s="2"/>
      <c r="L180" s="2"/>
    </row>
    <row r="181" spans="8:12" ht="16">
      <c r="H181" s="2"/>
      <c r="I181" s="2"/>
      <c r="J181" s="2"/>
      <c r="K181" s="2"/>
      <c r="L181" s="2"/>
    </row>
    <row r="182" spans="8:12" ht="16">
      <c r="H182" s="2"/>
      <c r="I182" s="2"/>
      <c r="J182" s="2"/>
      <c r="K182" s="2"/>
      <c r="L182" s="2"/>
    </row>
    <row r="183" spans="8:12" ht="16">
      <c r="H183" s="2"/>
      <c r="I183" s="2"/>
      <c r="J183" s="2"/>
      <c r="K183" s="2"/>
      <c r="L183" s="2"/>
    </row>
    <row r="184" spans="8:12" ht="16">
      <c r="H184" s="2"/>
      <c r="I184" s="2"/>
      <c r="J184" s="2"/>
      <c r="K184" s="2"/>
      <c r="L184" s="2"/>
    </row>
    <row r="185" spans="8:12" ht="16">
      <c r="H185" s="2"/>
      <c r="I185" s="2"/>
      <c r="J185" s="2"/>
      <c r="K185" s="2"/>
      <c r="L185" s="2"/>
    </row>
    <row r="186" spans="8:12" ht="16">
      <c r="H186" s="2"/>
      <c r="I186" s="2"/>
      <c r="J186" s="2"/>
      <c r="K186" s="2"/>
      <c r="L186" s="2"/>
    </row>
    <row r="187" spans="8:12" ht="16">
      <c r="H187" s="2"/>
      <c r="I187" s="2"/>
      <c r="J187" s="2"/>
      <c r="K187" s="2"/>
      <c r="L187" s="2"/>
    </row>
    <row r="188" spans="8:12" ht="16">
      <c r="H188" s="2"/>
      <c r="I188" s="2"/>
      <c r="J188" s="2"/>
      <c r="K188" s="2"/>
      <c r="L188" s="2"/>
    </row>
    <row r="189" spans="8:12" ht="16">
      <c r="H189" s="2"/>
      <c r="I189" s="2"/>
      <c r="J189" s="2"/>
      <c r="K189" s="2"/>
      <c r="L189" s="2"/>
    </row>
    <row r="190" spans="8:12" ht="16">
      <c r="H190" s="2"/>
      <c r="I190" s="2"/>
      <c r="J190" s="2"/>
      <c r="K190" s="2"/>
      <c r="L190" s="2"/>
    </row>
    <row r="191" spans="8:12" ht="16">
      <c r="H191" s="2"/>
      <c r="I191" s="2"/>
      <c r="J191" s="2"/>
      <c r="K191" s="2"/>
      <c r="L191" s="2"/>
    </row>
    <row r="192" spans="8:12" ht="16">
      <c r="H192" s="2"/>
      <c r="I192" s="2"/>
      <c r="J192" s="2"/>
      <c r="K192" s="2"/>
      <c r="L192" s="2"/>
    </row>
    <row r="193" spans="8:12" ht="16">
      <c r="H193" s="2"/>
      <c r="I193" s="2"/>
      <c r="J193" s="2"/>
      <c r="K193" s="2"/>
      <c r="L193" s="2"/>
    </row>
    <row r="194" spans="8:12" ht="16">
      <c r="H194" s="2"/>
      <c r="I194" s="2"/>
      <c r="J194" s="2"/>
      <c r="K194" s="2"/>
      <c r="L194" s="2"/>
    </row>
    <row r="195" spans="8:12" ht="16">
      <c r="H195" s="2"/>
      <c r="I195" s="2"/>
      <c r="J195" s="2"/>
      <c r="K195" s="2"/>
      <c r="L195" s="2"/>
    </row>
    <row r="196" spans="8:12" ht="16">
      <c r="H196" s="2"/>
      <c r="I196" s="2"/>
      <c r="J196" s="2"/>
      <c r="K196" s="2"/>
      <c r="L196" s="2"/>
    </row>
    <row r="197" spans="8:12" ht="16">
      <c r="H197" s="2"/>
      <c r="I197" s="2"/>
      <c r="J197" s="2"/>
      <c r="K197" s="2"/>
      <c r="L197" s="2"/>
    </row>
    <row r="198" spans="8:12" ht="16">
      <c r="H198" s="2"/>
      <c r="I198" s="2"/>
      <c r="J198" s="2"/>
      <c r="K198" s="2"/>
      <c r="L198" s="2"/>
    </row>
    <row r="199" spans="8:12" ht="16">
      <c r="H199" s="2"/>
      <c r="I199" s="2"/>
      <c r="J199" s="2"/>
      <c r="K199" s="2"/>
      <c r="L199" s="2"/>
    </row>
    <row r="200" spans="8:12" ht="16">
      <c r="H200" s="2"/>
      <c r="I200" s="2"/>
      <c r="J200" s="2"/>
      <c r="K200" s="2"/>
      <c r="L200" s="2"/>
    </row>
    <row r="201" spans="8:12" ht="16">
      <c r="H201" s="2"/>
      <c r="I201" s="2"/>
      <c r="J201" s="2"/>
      <c r="K201" s="2"/>
      <c r="L201" s="2"/>
    </row>
    <row r="202" spans="8:12" ht="16">
      <c r="H202" s="2"/>
      <c r="I202" s="2"/>
      <c r="J202" s="2"/>
      <c r="K202" s="2"/>
      <c r="L202" s="2"/>
    </row>
    <row r="203" spans="8:12" ht="16">
      <c r="H203" s="2"/>
      <c r="I203" s="2"/>
      <c r="J203" s="2"/>
      <c r="K203" s="2"/>
      <c r="L203" s="2"/>
    </row>
    <row r="204" spans="8:12" ht="16">
      <c r="H204" s="2"/>
      <c r="I204" s="2"/>
      <c r="J204" s="2"/>
      <c r="K204" s="2"/>
      <c r="L204" s="2"/>
    </row>
    <row r="205" spans="8:12" ht="16">
      <c r="H205" s="2"/>
      <c r="I205" s="2"/>
      <c r="J205" s="2"/>
      <c r="K205" s="2"/>
      <c r="L205" s="2"/>
    </row>
    <row r="206" spans="8:12" ht="16">
      <c r="H206" s="2"/>
      <c r="I206" s="2"/>
      <c r="J206" s="2"/>
      <c r="K206" s="2"/>
      <c r="L206" s="2"/>
    </row>
    <row r="207" spans="8:12" ht="16">
      <c r="H207" s="2"/>
      <c r="I207" s="2"/>
      <c r="J207" s="2"/>
      <c r="K207" s="2"/>
      <c r="L207" s="2"/>
    </row>
    <row r="208" spans="8:12" ht="16">
      <c r="H208" s="2"/>
      <c r="I208" s="2"/>
      <c r="J208" s="2"/>
      <c r="K208" s="2"/>
      <c r="L208" s="2"/>
    </row>
    <row r="209" spans="8:12" ht="16">
      <c r="H209" s="2"/>
      <c r="I209" s="2"/>
      <c r="J209" s="2"/>
      <c r="K209" s="2"/>
      <c r="L209" s="2"/>
    </row>
    <row r="210" spans="8:12" ht="16">
      <c r="H210" s="2"/>
      <c r="I210" s="2"/>
      <c r="J210" s="2"/>
      <c r="K210" s="2"/>
      <c r="L210" s="2"/>
    </row>
    <row r="211" spans="8:12" ht="16">
      <c r="H211" s="2"/>
      <c r="I211" s="2"/>
      <c r="J211" s="2"/>
      <c r="K211" s="2"/>
      <c r="L211" s="2"/>
    </row>
    <row r="212" spans="8:12" ht="16">
      <c r="H212" s="2"/>
      <c r="I212" s="2"/>
      <c r="J212" s="2"/>
      <c r="K212" s="2"/>
      <c r="L212" s="2"/>
    </row>
    <row r="213" spans="8:12" ht="16">
      <c r="H213" s="2"/>
      <c r="I213" s="2"/>
      <c r="J213" s="2"/>
      <c r="K213" s="2"/>
      <c r="L213" s="2"/>
    </row>
    <row r="214" spans="8:12" ht="16">
      <c r="H214" s="2"/>
      <c r="I214" s="2"/>
      <c r="J214" s="2"/>
      <c r="K214" s="2"/>
      <c r="L214" s="2"/>
    </row>
    <row r="215" spans="8:12" ht="16">
      <c r="H215" s="2"/>
      <c r="I215" s="2"/>
      <c r="J215" s="2"/>
      <c r="K215" s="2"/>
      <c r="L215" s="2"/>
    </row>
    <row r="216" spans="8:12" ht="16">
      <c r="H216" s="2"/>
      <c r="I216" s="2"/>
      <c r="J216" s="2"/>
      <c r="K216" s="2"/>
      <c r="L216" s="2"/>
    </row>
    <row r="217" spans="8:12" ht="16">
      <c r="H217" s="2"/>
      <c r="I217" s="2"/>
      <c r="J217" s="2"/>
      <c r="K217" s="2"/>
      <c r="L217" s="2"/>
    </row>
    <row r="218" spans="8:12" ht="16">
      <c r="H218" s="2"/>
      <c r="I218" s="2"/>
      <c r="J218" s="2"/>
      <c r="K218" s="2"/>
      <c r="L218" s="2"/>
    </row>
    <row r="219" spans="8:12" ht="16">
      <c r="H219" s="2"/>
      <c r="I219" s="2"/>
      <c r="J219" s="2"/>
      <c r="K219" s="2"/>
      <c r="L219" s="2"/>
    </row>
    <row r="220" spans="8:12" ht="16">
      <c r="H220" s="2"/>
      <c r="I220" s="2"/>
      <c r="J220" s="2"/>
      <c r="K220" s="2"/>
      <c r="L220" s="2"/>
    </row>
    <row r="221" spans="8:12" ht="16">
      <c r="H221" s="2"/>
      <c r="I221" s="2"/>
      <c r="J221" s="2"/>
      <c r="K221" s="2"/>
      <c r="L221" s="2"/>
    </row>
    <row r="222" spans="8:12" ht="16">
      <c r="H222" s="2"/>
      <c r="I222" s="2"/>
      <c r="J222" s="2"/>
      <c r="K222" s="2"/>
      <c r="L222" s="2"/>
    </row>
    <row r="223" spans="8:12" ht="16">
      <c r="H223" s="2"/>
      <c r="I223" s="2"/>
      <c r="J223" s="2"/>
      <c r="K223" s="2"/>
      <c r="L223" s="2"/>
    </row>
    <row r="224" spans="8:12" ht="16">
      <c r="H224" s="2"/>
      <c r="I224" s="2"/>
      <c r="J224" s="2"/>
      <c r="K224" s="2"/>
      <c r="L224" s="2"/>
    </row>
    <row r="225" spans="8:12" ht="16">
      <c r="H225" s="2"/>
      <c r="I225" s="2"/>
      <c r="J225" s="2"/>
      <c r="K225" s="2"/>
      <c r="L225" s="2"/>
    </row>
    <row r="226" spans="8:12" ht="16">
      <c r="H226" s="2"/>
      <c r="I226" s="2"/>
      <c r="J226" s="2"/>
      <c r="K226" s="2"/>
      <c r="L226" s="2"/>
    </row>
    <row r="227" spans="8:12" ht="16">
      <c r="H227" s="2"/>
      <c r="I227" s="2"/>
      <c r="J227" s="2"/>
      <c r="K227" s="2"/>
      <c r="L227" s="2"/>
    </row>
    <row r="228" spans="8:12" ht="16">
      <c r="H228" s="2"/>
      <c r="I228" s="2"/>
      <c r="J228" s="2"/>
      <c r="K228" s="2"/>
      <c r="L228" s="2"/>
    </row>
    <row r="229" spans="8:12" ht="16">
      <c r="H229" s="2"/>
      <c r="I229" s="2"/>
      <c r="J229" s="2"/>
      <c r="K229" s="2"/>
      <c r="L229" s="2"/>
    </row>
    <row r="230" spans="8:12" ht="16">
      <c r="H230" s="2"/>
      <c r="I230" s="2"/>
      <c r="J230" s="2"/>
      <c r="K230" s="2"/>
      <c r="L230" s="2"/>
    </row>
    <row r="231" spans="8:12" ht="16">
      <c r="H231" s="2"/>
      <c r="I231" s="2"/>
      <c r="J231" s="2"/>
      <c r="K231" s="2"/>
      <c r="L231" s="2"/>
    </row>
    <row r="232" spans="8:12" ht="16">
      <c r="H232" s="2"/>
      <c r="I232" s="2"/>
      <c r="J232" s="2"/>
      <c r="K232" s="2"/>
      <c r="L232" s="2"/>
    </row>
    <row r="233" spans="8:12" ht="16">
      <c r="H233" s="2"/>
      <c r="I233" s="2"/>
      <c r="J233" s="2"/>
      <c r="K233" s="2"/>
      <c r="L233" s="2"/>
    </row>
    <row r="234" spans="8:12" ht="16">
      <c r="H234" s="2"/>
      <c r="I234" s="2"/>
      <c r="J234" s="2"/>
      <c r="K234" s="2"/>
      <c r="L234" s="2"/>
    </row>
    <row r="235" spans="8:12" ht="16">
      <c r="H235" s="2"/>
      <c r="I235" s="2"/>
      <c r="J235" s="2"/>
      <c r="K235" s="2"/>
      <c r="L235" s="2"/>
    </row>
    <row r="236" spans="8:12" ht="16">
      <c r="H236" s="2"/>
      <c r="I236" s="2"/>
      <c r="J236" s="2"/>
      <c r="K236" s="2"/>
      <c r="L236" s="2"/>
    </row>
    <row r="237" spans="8:12" ht="16">
      <c r="H237" s="2"/>
      <c r="I237" s="2"/>
      <c r="J237" s="2"/>
      <c r="K237" s="2"/>
      <c r="L237" s="2"/>
    </row>
    <row r="238" spans="8:12" ht="16">
      <c r="H238" s="2"/>
      <c r="I238" s="2"/>
      <c r="J238" s="2"/>
      <c r="K238" s="2"/>
      <c r="L238" s="2"/>
    </row>
    <row r="239" spans="8:12" ht="16">
      <c r="H239" s="2"/>
      <c r="I239" s="2"/>
      <c r="J239" s="2"/>
      <c r="K239" s="2"/>
      <c r="L239" s="2"/>
    </row>
    <row r="240" spans="8:12" ht="16">
      <c r="H240" s="2"/>
      <c r="I240" s="2"/>
      <c r="J240" s="2"/>
      <c r="K240" s="2"/>
      <c r="L240" s="2"/>
    </row>
    <row r="241" spans="8:12" ht="16">
      <c r="H241" s="2"/>
      <c r="I241" s="2"/>
      <c r="J241" s="2"/>
      <c r="K241" s="2"/>
      <c r="L241" s="2"/>
    </row>
    <row r="242" spans="8:12" ht="16">
      <c r="H242" s="2"/>
      <c r="I242" s="2"/>
      <c r="J242" s="2"/>
      <c r="K242" s="2"/>
      <c r="L242" s="2"/>
    </row>
    <row r="243" spans="8:12" ht="16">
      <c r="H243" s="2"/>
      <c r="I243" s="2"/>
      <c r="J243" s="2"/>
      <c r="K243" s="2"/>
      <c r="L243" s="2"/>
    </row>
    <row r="244" spans="8:12" ht="16">
      <c r="H244" s="2"/>
      <c r="I244" s="2"/>
      <c r="J244" s="2"/>
      <c r="K244" s="2"/>
      <c r="L244" s="2"/>
    </row>
    <row r="245" spans="8:12" ht="16">
      <c r="H245" s="2"/>
      <c r="I245" s="2"/>
      <c r="J245" s="2"/>
      <c r="K245" s="2"/>
      <c r="L245" s="2"/>
    </row>
    <row r="246" spans="8:12" ht="16">
      <c r="H246" s="2"/>
      <c r="I246" s="2"/>
      <c r="J246" s="2"/>
      <c r="K246" s="2"/>
      <c r="L246" s="2"/>
    </row>
    <row r="247" spans="8:12" ht="16">
      <c r="H247" s="2"/>
      <c r="I247" s="2"/>
      <c r="J247" s="2"/>
      <c r="K247" s="2"/>
      <c r="L247" s="2"/>
    </row>
    <row r="248" spans="8:12" ht="16">
      <c r="H248" s="2"/>
      <c r="I248" s="2"/>
      <c r="J248" s="2"/>
      <c r="K248" s="2"/>
      <c r="L248" s="2"/>
    </row>
    <row r="249" spans="8:12" ht="16">
      <c r="H249" s="2"/>
      <c r="I249" s="2"/>
      <c r="J249" s="2"/>
      <c r="K249" s="2"/>
      <c r="L249" s="2"/>
    </row>
    <row r="250" spans="8:12" ht="16">
      <c r="H250" s="2"/>
      <c r="I250" s="2"/>
      <c r="J250" s="2"/>
      <c r="K250" s="2"/>
      <c r="L250" s="2"/>
    </row>
    <row r="251" spans="8:12" ht="16">
      <c r="H251" s="2"/>
      <c r="I251" s="2"/>
      <c r="J251" s="2"/>
      <c r="K251" s="2"/>
      <c r="L251" s="2"/>
    </row>
    <row r="252" spans="8:12" ht="16">
      <c r="H252" s="2"/>
      <c r="I252" s="2"/>
      <c r="J252" s="2"/>
      <c r="K252" s="2"/>
      <c r="L252" s="2"/>
    </row>
    <row r="253" spans="8:12" ht="16">
      <c r="H253" s="2"/>
      <c r="I253" s="2"/>
      <c r="J253" s="2"/>
      <c r="K253" s="2"/>
      <c r="L253" s="2"/>
    </row>
    <row r="254" spans="8:12" ht="16">
      <c r="H254" s="2"/>
      <c r="I254" s="2"/>
      <c r="J254" s="2"/>
      <c r="K254" s="2"/>
      <c r="L254" s="2"/>
    </row>
    <row r="255" spans="8:12" ht="16">
      <c r="H255" s="2"/>
      <c r="I255" s="2"/>
      <c r="J255" s="2"/>
      <c r="K255" s="2"/>
      <c r="L255" s="2"/>
    </row>
    <row r="256" spans="8:12" ht="16">
      <c r="H256" s="2"/>
      <c r="I256" s="2"/>
      <c r="J256" s="2"/>
      <c r="K256" s="2"/>
      <c r="L256" s="2"/>
    </row>
    <row r="257" spans="8:12" ht="16">
      <c r="H257" s="2"/>
      <c r="I257" s="2"/>
      <c r="J257" s="2"/>
      <c r="K257" s="2"/>
      <c r="L257" s="2"/>
    </row>
    <row r="258" spans="8:12" ht="16">
      <c r="H258" s="2"/>
      <c r="I258" s="2"/>
      <c r="J258" s="2"/>
      <c r="K258" s="2"/>
      <c r="L258" s="2"/>
    </row>
    <row r="259" spans="8:12" ht="16">
      <c r="H259" s="2"/>
      <c r="I259" s="2"/>
      <c r="J259" s="2"/>
      <c r="K259" s="2"/>
      <c r="L259" s="2"/>
    </row>
    <row r="260" spans="8:12" ht="16">
      <c r="H260" s="2"/>
      <c r="I260" s="2"/>
      <c r="J260" s="2"/>
      <c r="K260" s="2"/>
      <c r="L260" s="2"/>
    </row>
    <row r="261" spans="8:12" ht="16">
      <c r="H261" s="2"/>
      <c r="I261" s="2"/>
      <c r="J261" s="2"/>
      <c r="K261" s="2"/>
      <c r="L261" s="2"/>
    </row>
    <row r="262" spans="8:12" ht="16">
      <c r="H262" s="2"/>
      <c r="I262" s="2"/>
      <c r="J262" s="2"/>
      <c r="K262" s="2"/>
      <c r="L262" s="2"/>
    </row>
    <row r="263" spans="8:12" ht="16">
      <c r="H263" s="2"/>
      <c r="I263" s="2"/>
      <c r="J263" s="2"/>
      <c r="K263" s="2"/>
      <c r="L263" s="2"/>
    </row>
    <row r="264" spans="8:12" ht="16">
      <c r="H264" s="2"/>
      <c r="I264" s="2"/>
      <c r="J264" s="2"/>
      <c r="K264" s="2"/>
      <c r="L264" s="2"/>
    </row>
    <row r="265" spans="8:12" ht="16">
      <c r="H265" s="2"/>
      <c r="I265" s="2"/>
      <c r="J265" s="2"/>
      <c r="K265" s="2"/>
      <c r="L265" s="2"/>
    </row>
    <row r="266" spans="8:12" ht="16">
      <c r="H266" s="2"/>
      <c r="I266" s="2"/>
      <c r="J266" s="2"/>
      <c r="K266" s="2"/>
      <c r="L266" s="2"/>
    </row>
    <row r="267" spans="8:12" ht="16">
      <c r="H267" s="2"/>
      <c r="I267" s="2"/>
      <c r="J267" s="2"/>
      <c r="K267" s="2"/>
      <c r="L267" s="2"/>
    </row>
    <row r="268" spans="8:12" ht="16">
      <c r="H268" s="2"/>
      <c r="I268" s="2"/>
      <c r="J268" s="2"/>
      <c r="K268" s="2"/>
      <c r="L268" s="2"/>
    </row>
    <row r="269" spans="8:12" ht="16">
      <c r="H269" s="2"/>
      <c r="I269" s="2"/>
      <c r="J269" s="2"/>
      <c r="K269" s="2"/>
      <c r="L269" s="2"/>
    </row>
    <row r="270" spans="8:12" ht="16">
      <c r="H270" s="2"/>
      <c r="I270" s="2"/>
      <c r="J270" s="2"/>
      <c r="K270" s="2"/>
      <c r="L270" s="2"/>
    </row>
    <row r="271" spans="8:12" ht="16">
      <c r="H271" s="2"/>
      <c r="I271" s="2"/>
      <c r="J271" s="2"/>
      <c r="K271" s="2"/>
      <c r="L271" s="2"/>
    </row>
    <row r="272" spans="8:12" ht="16">
      <c r="H272" s="2"/>
      <c r="I272" s="2"/>
      <c r="J272" s="2"/>
      <c r="K272" s="2"/>
      <c r="L272" s="2"/>
    </row>
    <row r="273" spans="8:12" ht="16">
      <c r="H273" s="2"/>
      <c r="I273" s="2"/>
      <c r="J273" s="2"/>
      <c r="K273" s="2"/>
      <c r="L273" s="2"/>
    </row>
    <row r="274" spans="8:12" ht="16">
      <c r="H274" s="2"/>
      <c r="I274" s="2"/>
      <c r="J274" s="2"/>
      <c r="K274" s="2"/>
      <c r="L274" s="2"/>
    </row>
    <row r="275" spans="8:12" ht="16">
      <c r="H275" s="2"/>
      <c r="I275" s="2"/>
      <c r="J275" s="2"/>
      <c r="K275" s="2"/>
      <c r="L275" s="2"/>
    </row>
    <row r="276" spans="8:12" ht="16">
      <c r="H276" s="2"/>
      <c r="I276" s="2"/>
      <c r="J276" s="2"/>
      <c r="K276" s="2"/>
      <c r="L276" s="2"/>
    </row>
    <row r="277" spans="8:12" ht="16">
      <c r="H277" s="2"/>
      <c r="I277" s="2"/>
      <c r="J277" s="2"/>
      <c r="K277" s="2"/>
      <c r="L277" s="2"/>
    </row>
    <row r="278" spans="8:12" ht="16">
      <c r="H278" s="2"/>
      <c r="I278" s="2"/>
      <c r="J278" s="2"/>
      <c r="K278" s="2"/>
      <c r="L278" s="2"/>
    </row>
    <row r="279" spans="8:12" ht="16">
      <c r="H279" s="2"/>
      <c r="I279" s="2"/>
      <c r="J279" s="2"/>
      <c r="K279" s="2"/>
      <c r="L279" s="2"/>
    </row>
  </sheetData>
  <hyperlinks>
    <hyperlink ref="P2" r:id="rId1" display="https://tntcat.iiasa.ac.at/SspDb/dsd?Action=htmlpage&amp;page=about" xr:uid="{9A871146-7129-9E47-8EF7-1472CCF5D933}"/>
    <hyperlink ref="O2" r:id="rId2" display="https://www.scb.se/en/finding-statistics/statistics-by-subject-area/population/population-projections/population-projections/" xr:uid="{F47286D0-F630-1744-AF38-63F512687089}"/>
    <hyperlink ref="N2" r:id="rId3" display="https://data.ene.iiasa.ac.at/ar6/" xr:uid="{DD16916B-F519-E044-B758-F0DE5FEF824A}"/>
    <hyperlink ref="M2" r:id="rId4" location="section7" display="https://essd.copernicus.org/articles/14/1917/2022/ - section7" xr:uid="{9D8AA0A3-E578-5146-A588-4FB34171B1B3}"/>
  </hyperlinks>
  <pageMargins left="0.7" right="0.7" top="0.75" bottom="0.75" header="0.3" footer="0.3"/>
  <pageSetup paperSize="9" orientation="portrait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00EF2-8952-2E47-B8E1-322EEB911A88}">
  <dimension ref="A1:F42"/>
  <sheetViews>
    <sheetView workbookViewId="0">
      <selection activeCell="K28" sqref="K28"/>
    </sheetView>
  </sheetViews>
  <sheetFormatPr baseColWidth="10" defaultRowHeight="15"/>
  <sheetData>
    <row r="1" spans="1:6">
      <c r="A1" t="s">
        <v>85</v>
      </c>
      <c r="B1" t="s">
        <v>86</v>
      </c>
      <c r="C1" t="s">
        <v>87</v>
      </c>
      <c r="D1" t="s">
        <v>88</v>
      </c>
      <c r="E1">
        <v>2000</v>
      </c>
      <c r="F1">
        <v>2010</v>
      </c>
    </row>
    <row r="2" spans="1:6">
      <c r="A2">
        <v>2015</v>
      </c>
      <c r="B2">
        <f>'Historical responsibility C'!C30</f>
        <v>70.746298840911834</v>
      </c>
    </row>
    <row r="3" spans="1:6">
      <c r="A3">
        <v>2016</v>
      </c>
      <c r="B3">
        <f>'Historical responsibility C'!C31</f>
        <v>69.990736491284764</v>
      </c>
    </row>
    <row r="4" spans="1:6">
      <c r="A4">
        <v>2017</v>
      </c>
      <c r="B4">
        <f>'Historical responsibility C'!C32</f>
        <v>70.598838235214302</v>
      </c>
    </row>
    <row r="5" spans="1:6">
      <c r="A5">
        <v>2018</v>
      </c>
      <c r="B5">
        <f>'Historical responsibility C'!C33</f>
        <v>71.105752208901663</v>
      </c>
    </row>
    <row r="6" spans="1:6">
      <c r="A6">
        <v>2019</v>
      </c>
      <c r="B6">
        <f>'Historical responsibility C'!C34</f>
        <v>67.938478760215062</v>
      </c>
      <c r="C6">
        <f>$B6</f>
        <v>67.938478760215062</v>
      </c>
      <c r="D6">
        <f t="shared" ref="D6:F6" si="0">$B6</f>
        <v>67.938478760215062</v>
      </c>
      <c r="E6">
        <f t="shared" si="0"/>
        <v>67.938478760215062</v>
      </c>
      <c r="F6">
        <f t="shared" si="0"/>
        <v>67.938478760215062</v>
      </c>
    </row>
    <row r="7" spans="1:6">
      <c r="A7">
        <v>2020</v>
      </c>
      <c r="C7">
        <f>C$6-C$6*'Historical responsibility C'!$M$81*($A7-$A$6)</f>
        <v>57.184808164124263</v>
      </c>
      <c r="D7">
        <f>D$6-D$6*'Historical responsibility C'!$M$80*($A7-$A$6)</f>
        <v>64.577588501563341</v>
      </c>
      <c r="E7">
        <f>E$6-E$6*'Historical responsibility C'!$M$78*($A7-$A$6)</f>
        <v>32.979925614164237</v>
      </c>
      <c r="F7">
        <f>F$6-F$6*'Historical responsibility C'!$M$79*($A7-$A$6)</f>
        <v>62.887024765430979</v>
      </c>
    </row>
    <row r="8" spans="1:6">
      <c r="A8">
        <v>2021</v>
      </c>
      <c r="C8">
        <f>C$6-C$6*'Historical responsibility C'!$M$81*($A8-$A$6)</f>
        <v>46.431137568033456</v>
      </c>
      <c r="D8">
        <f>D$6-D$6*'Historical responsibility C'!$M$80*($A8-$A$6)</f>
        <v>61.216698242911619</v>
      </c>
      <c r="E8">
        <f>E$6-E$6*'Historical responsibility C'!$M$78*($A8-$A$6)</f>
        <v>-1.9786275318865876</v>
      </c>
      <c r="F8">
        <f>F$6-F$6*'Historical responsibility C'!$M$79*($A8-$A$6)</f>
        <v>57.835570770646896</v>
      </c>
    </row>
    <row r="9" spans="1:6">
      <c r="A9">
        <v>2022</v>
      </c>
      <c r="C9">
        <f>C$6-C$6*'Historical responsibility C'!$M$81*($A9-$A$6)</f>
        <v>35.67746697194265</v>
      </c>
      <c r="D9">
        <f>D$6-D$6*'Historical responsibility C'!$M$80*($A9-$A$6)</f>
        <v>57.855807984259897</v>
      </c>
      <c r="F9">
        <f>F$6-F$6*'Historical responsibility C'!$M$79*($A9-$A$6)</f>
        <v>52.78411677586282</v>
      </c>
    </row>
    <row r="10" spans="1:6">
      <c r="A10">
        <v>2023</v>
      </c>
      <c r="C10">
        <f>C$6-C$6*'Historical responsibility C'!$M$81*($A10-$A$6)</f>
        <v>24.92379637585185</v>
      </c>
      <c r="D10">
        <f>D$6-D$6*'Historical responsibility C'!$M$80*($A10-$A$6)</f>
        <v>54.494917725608175</v>
      </c>
      <c r="F10">
        <f>F$6-F$6*'Historical responsibility C'!$M$79*($A10-$A$6)</f>
        <v>47.732662781078737</v>
      </c>
    </row>
    <row r="11" spans="1:6">
      <c r="A11">
        <v>2024</v>
      </c>
      <c r="C11">
        <f>C$6-C$6*'Historical responsibility C'!$M$81*($A11-$A$6)</f>
        <v>14.170125779761051</v>
      </c>
      <c r="D11">
        <f>D$6-D$6*'Historical responsibility C'!$M$80*($A11-$A$6)</f>
        <v>51.134027466956454</v>
      </c>
      <c r="F11">
        <f>F$6-F$6*'Historical responsibility C'!$M$79*($A11-$A$6)</f>
        <v>42.681208786294654</v>
      </c>
    </row>
    <row r="12" spans="1:6">
      <c r="A12">
        <v>2025</v>
      </c>
      <c r="C12">
        <f>C$6-C$6*'Historical responsibility C'!$M$81*($A12-$A$6)</f>
        <v>3.4164551836702373</v>
      </c>
      <c r="D12">
        <f>D$6-D$6*'Historical responsibility C'!$M$80*($A12-$A$6)</f>
        <v>47.773137208304732</v>
      </c>
      <c r="F12">
        <f>F$6-F$6*'Historical responsibility C'!$M$79*($A12-$A$6)</f>
        <v>37.629754791510578</v>
      </c>
    </row>
    <row r="13" spans="1:6">
      <c r="A13">
        <v>2026</v>
      </c>
      <c r="C13">
        <f>C$6-C$6*'Historical responsibility C'!$M$81*($A13-$A$6)</f>
        <v>-7.3372154124205622</v>
      </c>
      <c r="D13">
        <f>D$6-D$6*'Historical responsibility C'!$M$80*($A13-$A$6)</f>
        <v>44.41224694965301</v>
      </c>
      <c r="F13">
        <f>F$6-F$6*'Historical responsibility C'!$M$79*($A13-$A$6)</f>
        <v>32.578300796726495</v>
      </c>
    </row>
    <row r="14" spans="1:6">
      <c r="A14">
        <v>2027</v>
      </c>
      <c r="D14">
        <f>D$6-D$6*'Historical responsibility C'!$M$80*($A14-$A$6)</f>
        <v>41.051356691001288</v>
      </c>
      <c r="F14">
        <f>F$6-F$6*'Historical responsibility C'!$M$79*($A14-$A$6)</f>
        <v>27.526846801942412</v>
      </c>
    </row>
    <row r="15" spans="1:6">
      <c r="A15">
        <v>2028</v>
      </c>
      <c r="D15">
        <f>D$6-D$6*'Historical responsibility C'!$M$80*($A15-$A$6)</f>
        <v>37.690466432349567</v>
      </c>
      <c r="F15">
        <f>F$6-F$6*'Historical responsibility C'!$M$79*($A15-$A$6)</f>
        <v>22.475392807158329</v>
      </c>
    </row>
    <row r="16" spans="1:6">
      <c r="A16">
        <v>2029</v>
      </c>
      <c r="D16">
        <f>D$6-D$6*'Historical responsibility C'!$M$80*($A16-$A$6)</f>
        <v>34.329576173697845</v>
      </c>
      <c r="F16">
        <f>F$6-F$6*'Historical responsibility C'!$M$79*($A16-$A$6)</f>
        <v>17.423938812374246</v>
      </c>
    </row>
    <row r="17" spans="1:6">
      <c r="A17">
        <v>2030</v>
      </c>
      <c r="D17">
        <f>D$6-D$6*'Historical responsibility C'!$M$80*($A17-$A$6)</f>
        <v>30.968685915046123</v>
      </c>
      <c r="F17">
        <f>F$6-F$6*'Historical responsibility C'!$M$79*($A17-$A$6)</f>
        <v>12.37248481759017</v>
      </c>
    </row>
    <row r="18" spans="1:6">
      <c r="A18">
        <v>2031</v>
      </c>
      <c r="D18">
        <f>D$6-D$6*'Historical responsibility C'!$M$80*($A18-$A$6)</f>
        <v>27.607795656394401</v>
      </c>
      <c r="F18">
        <f>F$6-F$6*'Historical responsibility C'!$M$79*($A18-$A$6)</f>
        <v>7.3210308228060867</v>
      </c>
    </row>
    <row r="19" spans="1:6">
      <c r="A19">
        <v>2032</v>
      </c>
      <c r="D19">
        <f>D$6-D$6*'Historical responsibility C'!$M$80*($A19-$A$6)</f>
        <v>24.24690539774268</v>
      </c>
      <c r="F19">
        <f>F$6-F$6*'Historical responsibility C'!$M$79*($A19-$A$6)</f>
        <v>2.2695768280220108</v>
      </c>
    </row>
    <row r="20" spans="1:6">
      <c r="A20">
        <v>2033</v>
      </c>
      <c r="D20">
        <f>D$6-D$6*'Historical responsibility C'!$M$80*($A20-$A$6)</f>
        <v>20.886015139090958</v>
      </c>
      <c r="F20">
        <f>F$6-F$6*'Historical responsibility C'!$M$79*($A20-$A$6)</f>
        <v>-2.7818771667620723</v>
      </c>
    </row>
    <row r="21" spans="1:6">
      <c r="A21">
        <v>2034</v>
      </c>
      <c r="D21">
        <f>D$6-D$6*'Historical responsibility C'!$M$80*($A21-$A$6)</f>
        <v>17.525124880439236</v>
      </c>
    </row>
    <row r="22" spans="1:6">
      <c r="A22">
        <v>2035</v>
      </c>
      <c r="D22">
        <f>D$6-D$6*'Historical responsibility C'!$M$80*($A22-$A$6)</f>
        <v>14.164234621787514</v>
      </c>
    </row>
    <row r="23" spans="1:6">
      <c r="A23">
        <v>2036</v>
      </c>
      <c r="D23">
        <f>D$6-D$6*'Historical responsibility C'!$M$80*($A23-$A$6)</f>
        <v>10.803344363135793</v>
      </c>
    </row>
    <row r="24" spans="1:6">
      <c r="A24">
        <v>2037</v>
      </c>
      <c r="D24">
        <f>D$6-D$6*'Historical responsibility C'!$M$80*($A24-$A$6)</f>
        <v>7.4424541044840709</v>
      </c>
    </row>
    <row r="25" spans="1:6">
      <c r="A25">
        <v>2038</v>
      </c>
      <c r="D25">
        <f>D$6-D$6*'Historical responsibility C'!$M$80*($A25-$A$6)</f>
        <v>4.0815638458323491</v>
      </c>
    </row>
    <row r="26" spans="1:6">
      <c r="A26">
        <v>2039</v>
      </c>
      <c r="D26">
        <f>D$6-D$6*'Historical responsibility C'!$M$80*($A26-$A$6)</f>
        <v>0.72067358718062735</v>
      </c>
    </row>
    <row r="27" spans="1:6">
      <c r="A27">
        <v>2040</v>
      </c>
      <c r="D27">
        <f>D$6-D$6*'Historical responsibility C'!$M$80*($A27-$A$6)</f>
        <v>-2.6402166714710944</v>
      </c>
    </row>
    <row r="28" spans="1:6">
      <c r="A28">
        <v>2041</v>
      </c>
    </row>
    <row r="29" spans="1:6">
      <c r="A29">
        <v>2042</v>
      </c>
    </row>
    <row r="30" spans="1:6">
      <c r="A30">
        <v>2043</v>
      </c>
    </row>
    <row r="31" spans="1:6">
      <c r="A31">
        <v>2044</v>
      </c>
    </row>
    <row r="32" spans="1:6">
      <c r="A32">
        <v>2045</v>
      </c>
    </row>
    <row r="33" spans="1:1">
      <c r="A33">
        <v>2046</v>
      </c>
    </row>
    <row r="34" spans="1:1">
      <c r="A34">
        <v>2047</v>
      </c>
    </row>
    <row r="35" spans="1:1">
      <c r="A35">
        <v>2048</v>
      </c>
    </row>
    <row r="36" spans="1:1">
      <c r="A36">
        <v>2049</v>
      </c>
    </row>
    <row r="37" spans="1:1">
      <c r="A37">
        <v>2050</v>
      </c>
    </row>
    <row r="38" spans="1:1">
      <c r="A38">
        <v>2051</v>
      </c>
    </row>
    <row r="39" spans="1:1">
      <c r="A39">
        <v>2052</v>
      </c>
    </row>
    <row r="40" spans="1:1">
      <c r="A40">
        <v>2053</v>
      </c>
    </row>
    <row r="41" spans="1:1">
      <c r="A41">
        <v>2054</v>
      </c>
    </row>
    <row r="42" spans="1:1">
      <c r="A42">
        <v>2055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56E77-54B4-C148-A38F-3441463CD826}">
  <dimension ref="A2:BN279"/>
  <sheetViews>
    <sheetView tabSelected="1" topLeftCell="P1" workbookViewId="0">
      <selection activeCell="U18" sqref="U18"/>
    </sheetView>
  </sheetViews>
  <sheetFormatPr baseColWidth="10" defaultColWidth="8.83203125" defaultRowHeight="15"/>
  <cols>
    <col min="2" max="2" width="21.33203125" customWidth="1"/>
    <col min="4" max="4" width="14.1640625" customWidth="1"/>
    <col min="5" max="5" width="11" customWidth="1"/>
    <col min="6" max="6" width="27" customWidth="1"/>
    <col min="7" max="7" width="24.5" customWidth="1"/>
    <col min="9" max="9" width="12.1640625" customWidth="1"/>
    <col min="10" max="10" width="13.33203125" customWidth="1"/>
    <col min="11" max="11" width="14.1640625" customWidth="1"/>
    <col min="12" max="12" width="10.5" customWidth="1"/>
    <col min="13" max="13" width="33.1640625" bestFit="1" customWidth="1"/>
    <col min="14" max="14" width="63.5" customWidth="1"/>
    <col min="15" max="15" width="20.83203125" bestFit="1" customWidth="1"/>
    <col min="16" max="16" width="21.1640625" customWidth="1"/>
    <col min="17" max="19" width="11.83203125" customWidth="1"/>
    <col min="20" max="20" width="40.5" customWidth="1"/>
    <col min="21" max="42" width="5" customWidth="1"/>
    <col min="43" max="43" width="5.83203125" customWidth="1"/>
  </cols>
  <sheetData>
    <row r="2" spans="1:22" ht="64">
      <c r="C2" s="54">
        <f>U19</f>
        <v>0.33</v>
      </c>
      <c r="M2" s="28" t="s">
        <v>24</v>
      </c>
      <c r="N2" s="27" t="s">
        <v>60</v>
      </c>
      <c r="O2" s="26" t="s">
        <v>32</v>
      </c>
      <c r="P2" s="25" t="s">
        <v>44</v>
      </c>
    </row>
    <row r="3" spans="1:22" ht="31" customHeight="1">
      <c r="B3" s="20" t="s">
        <v>21</v>
      </c>
      <c r="D3" t="s">
        <v>0</v>
      </c>
      <c r="E3" t="s">
        <v>18</v>
      </c>
      <c r="F3" s="20" t="s">
        <v>76</v>
      </c>
      <c r="G3" s="52" t="s">
        <v>75</v>
      </c>
      <c r="H3" s="1"/>
      <c r="I3" s="2"/>
      <c r="K3" s="20" t="s">
        <v>22</v>
      </c>
      <c r="L3" s="20" t="s">
        <v>23</v>
      </c>
      <c r="M3" t="s">
        <v>58</v>
      </c>
      <c r="N3" t="s">
        <v>59</v>
      </c>
      <c r="O3" t="s">
        <v>3</v>
      </c>
      <c r="P3" t="s">
        <v>73</v>
      </c>
      <c r="Q3" t="s">
        <v>74</v>
      </c>
    </row>
    <row r="4" spans="1:22" ht="16">
      <c r="B4" t="s">
        <v>11</v>
      </c>
      <c r="C4" t="s">
        <v>12</v>
      </c>
      <c r="E4" t="s">
        <v>13</v>
      </c>
      <c r="F4" t="s">
        <v>12</v>
      </c>
      <c r="G4" t="s">
        <v>12</v>
      </c>
      <c r="H4" s="2"/>
      <c r="I4" s="2"/>
      <c r="K4" t="s">
        <v>53</v>
      </c>
      <c r="L4" t="s">
        <v>53</v>
      </c>
      <c r="M4" t="s">
        <v>53</v>
      </c>
      <c r="O4" t="s">
        <v>14</v>
      </c>
      <c r="P4" t="s">
        <v>13</v>
      </c>
      <c r="Q4" t="s">
        <v>13</v>
      </c>
    </row>
    <row r="5" spans="1:22" s="46" customFormat="1" ht="16">
      <c r="A5" s="33">
        <v>1990</v>
      </c>
      <c r="B5" s="34">
        <f>$C$2*'Historical responsibility C'!B5+(1-$C$2)*'Historical responsibility T'!B36</f>
        <v>18.145991548628331</v>
      </c>
      <c r="C5" s="35">
        <f>B5*44/12</f>
        <v>66.535302344970546</v>
      </c>
      <c r="D5" s="36">
        <v>8590630</v>
      </c>
      <c r="E5" s="35">
        <f>C5*1000000/D5</f>
        <v>7.7451016217635429</v>
      </c>
      <c r="F5" s="35">
        <f t="shared" ref="F5:F65" si="0">D5*P5/1000000</f>
        <v>43.809653099961935</v>
      </c>
      <c r="G5" s="35">
        <f>D5*Q5/1000000</f>
        <v>43.809653099961935</v>
      </c>
      <c r="H5" s="38"/>
      <c r="I5" s="38"/>
      <c r="J5" s="33">
        <v>1990</v>
      </c>
      <c r="K5" s="39">
        <v>6.20696711067073</v>
      </c>
      <c r="L5" s="39">
        <v>1.17335641256856</v>
      </c>
      <c r="M5" s="40">
        <f t="shared" ref="M5:M34" si="1">L5+K5</f>
        <v>7.3803235232392899</v>
      </c>
      <c r="N5" s="48">
        <f>M5</f>
        <v>7.3803235232392899</v>
      </c>
      <c r="O5" s="45">
        <v>5306.4250000000002</v>
      </c>
      <c r="P5" s="40">
        <f t="shared" ref="P5:P65" si="2">M5*1000000000*44/12*1/(O5*1000000)</f>
        <v>5.0997020125371408</v>
      </c>
      <c r="Q5" s="40">
        <f>N5*1000000000*44/12*1/(O5*1000000)</f>
        <v>5.0997020125371408</v>
      </c>
      <c r="R5" s="40"/>
      <c r="S5" s="40"/>
    </row>
    <row r="6" spans="1:22" ht="16">
      <c r="A6" s="3">
        <v>1991</v>
      </c>
      <c r="B6" s="21">
        <f>$C$2*'Historical responsibility C'!B6+(1-$C$2)*'Historical responsibility T'!B37</f>
        <v>18.135867686993674</v>
      </c>
      <c r="C6" s="13">
        <f t="shared" ref="C6:C34" si="3">B6*44/12</f>
        <v>66.498181518976807</v>
      </c>
      <c r="D6" s="24">
        <v>8644119</v>
      </c>
      <c r="E6" s="13">
        <f t="shared" ref="E6:E34" si="4">C6*1000000/D6</f>
        <v>7.6928813125984048</v>
      </c>
      <c r="F6" s="13">
        <f t="shared" si="0"/>
        <v>44.03993276437987</v>
      </c>
      <c r="G6" s="13">
        <f>D6*Q6/1000000</f>
        <v>44.03993276437987</v>
      </c>
      <c r="H6" s="2"/>
      <c r="I6" s="2"/>
      <c r="J6" s="3">
        <v>1991</v>
      </c>
      <c r="K6" s="22">
        <v>6.3402868787719502</v>
      </c>
      <c r="L6" s="22">
        <v>1.1495867552065699</v>
      </c>
      <c r="M6" s="12">
        <f t="shared" si="1"/>
        <v>7.4898736339785206</v>
      </c>
      <c r="N6" s="49">
        <f t="shared" ref="N6:N35" si="5">M6</f>
        <v>7.4898736339785206</v>
      </c>
      <c r="O6" s="18">
        <v>5390.3878000000004</v>
      </c>
      <c r="P6" s="12">
        <f t="shared" si="2"/>
        <v>5.0947855720611743</v>
      </c>
      <c r="Q6" s="12">
        <f t="shared" ref="Q6:Q65" si="6">N6*1000000000*44/12*1/(O6*1000000)</f>
        <v>5.0947855720611743</v>
      </c>
      <c r="R6" s="12"/>
      <c r="S6" s="12"/>
    </row>
    <row r="7" spans="1:22" ht="16">
      <c r="A7" s="3">
        <v>1992</v>
      </c>
      <c r="B7" s="21">
        <f>$C$2*'Historical responsibility C'!B7+(1-$C$2)*'Historical responsibility T'!B38</f>
        <v>18.896977323833234</v>
      </c>
      <c r="C7" s="13">
        <f t="shared" si="3"/>
        <v>69.288916854055188</v>
      </c>
      <c r="D7" s="24">
        <v>8692013</v>
      </c>
      <c r="E7" s="13">
        <f t="shared" si="4"/>
        <v>7.9715615765939587</v>
      </c>
      <c r="F7" s="13">
        <f t="shared" si="0"/>
        <v>42.826556618789198</v>
      </c>
      <c r="G7" s="13">
        <f>D7*Q7/1000000</f>
        <v>42.826556618789198</v>
      </c>
      <c r="H7" s="2"/>
      <c r="I7" s="2"/>
      <c r="J7" s="3">
        <v>1992</v>
      </c>
      <c r="K7" s="22">
        <v>6.1576275920495398</v>
      </c>
      <c r="L7" s="22">
        <v>1.1985798487355499</v>
      </c>
      <c r="M7" s="12">
        <f t="shared" si="1"/>
        <v>7.3562074407850897</v>
      </c>
      <c r="N7" s="50">
        <f t="shared" si="5"/>
        <v>7.3562074407850897</v>
      </c>
      <c r="O7" s="18">
        <v>5474.3506000000007</v>
      </c>
      <c r="P7" s="12">
        <f t="shared" si="2"/>
        <v>4.9271160338565068</v>
      </c>
      <c r="Q7" s="12">
        <f t="shared" si="6"/>
        <v>4.9271160338565068</v>
      </c>
      <c r="R7" s="12"/>
      <c r="S7" s="12"/>
    </row>
    <row r="8" spans="1:22" ht="16">
      <c r="A8" s="3">
        <v>1993</v>
      </c>
      <c r="B8" s="21">
        <f>$C$2*'Historical responsibility C'!B8+(1-$C$2)*'Historical responsibility T'!B39</f>
        <v>18.310075740385233</v>
      </c>
      <c r="C8" s="13">
        <f t="shared" si="3"/>
        <v>67.136944381412519</v>
      </c>
      <c r="D8" s="24">
        <v>8745109</v>
      </c>
      <c r="E8" s="13">
        <f t="shared" si="4"/>
        <v>7.6770849147120428</v>
      </c>
      <c r="F8" s="13">
        <f t="shared" si="0"/>
        <v>42.650127526000468</v>
      </c>
      <c r="G8" s="13">
        <f t="shared" ref="G8:G65" si="7">D8*Q8/1000000</f>
        <v>42.650127526000468</v>
      </c>
      <c r="H8" s="2"/>
      <c r="I8" s="2"/>
      <c r="J8" s="3">
        <v>1993</v>
      </c>
      <c r="K8" s="22">
        <v>6.22137946392934</v>
      </c>
      <c r="L8" s="22">
        <v>1.1717226899138899</v>
      </c>
      <c r="M8" s="12">
        <f t="shared" si="1"/>
        <v>7.3931021538432304</v>
      </c>
      <c r="N8" s="50">
        <f t="shared" si="5"/>
        <v>7.3931021538432304</v>
      </c>
      <c r="O8" s="18">
        <v>5558.3134000000009</v>
      </c>
      <c r="P8" s="12">
        <f t="shared" si="2"/>
        <v>4.8770264071037275</v>
      </c>
      <c r="Q8" s="12">
        <f t="shared" si="6"/>
        <v>4.8770264071037275</v>
      </c>
      <c r="R8" s="12"/>
      <c r="S8" s="12"/>
    </row>
    <row r="9" spans="1:22" ht="16">
      <c r="A9" s="3">
        <v>1994</v>
      </c>
      <c r="B9" s="21">
        <f>$C$2*'Historical responsibility C'!B9+(1-$C$2)*'Historical responsibility T'!B40</f>
        <v>18.688618822070733</v>
      </c>
      <c r="C9" s="13">
        <f t="shared" si="3"/>
        <v>68.524935680926021</v>
      </c>
      <c r="D9" s="24">
        <v>8816381</v>
      </c>
      <c r="E9" s="13">
        <f t="shared" si="4"/>
        <v>7.772456258517642</v>
      </c>
      <c r="F9" s="13">
        <f t="shared" si="0"/>
        <v>43.425940182300501</v>
      </c>
      <c r="G9" s="13">
        <f t="shared" si="7"/>
        <v>43.425940182300501</v>
      </c>
      <c r="H9" s="2"/>
      <c r="I9" s="2"/>
      <c r="J9" s="3">
        <v>1994</v>
      </c>
      <c r="K9" s="22">
        <v>6.2654061901060398</v>
      </c>
      <c r="L9" s="22">
        <v>1.3141153459946</v>
      </c>
      <c r="M9" s="12">
        <f t="shared" si="1"/>
        <v>7.5795215361006401</v>
      </c>
      <c r="N9" s="50">
        <f t="shared" si="5"/>
        <v>7.5795215361006401</v>
      </c>
      <c r="O9" s="18">
        <v>5642.2762000000012</v>
      </c>
      <c r="P9" s="12">
        <f t="shared" si="2"/>
        <v>4.9255970428569844</v>
      </c>
      <c r="Q9" s="12">
        <f t="shared" si="6"/>
        <v>4.9255970428569844</v>
      </c>
      <c r="R9" s="12"/>
      <c r="S9" s="12"/>
    </row>
    <row r="10" spans="1:22" ht="16">
      <c r="A10" s="3">
        <v>1995</v>
      </c>
      <c r="B10" s="21">
        <f>$C$2*'Historical responsibility C'!B10+(1-$C$2)*'Historical responsibility T'!B41</f>
        <v>18.493886808932952</v>
      </c>
      <c r="C10" s="13">
        <f t="shared" si="3"/>
        <v>67.810918299420834</v>
      </c>
      <c r="D10" s="24">
        <v>8837496</v>
      </c>
      <c r="E10" s="13">
        <f t="shared" si="4"/>
        <v>7.6730918236818253</v>
      </c>
      <c r="F10" s="13">
        <f t="shared" si="0"/>
        <v>43.571924214667966</v>
      </c>
      <c r="G10" s="13">
        <f t="shared" si="7"/>
        <v>43.571924214667966</v>
      </c>
      <c r="H10" s="2"/>
      <c r="I10" s="2"/>
      <c r="J10" s="3">
        <v>1995</v>
      </c>
      <c r="K10" s="22">
        <v>6.3989097255219001</v>
      </c>
      <c r="L10" s="22">
        <v>1.3008212146081199</v>
      </c>
      <c r="M10" s="12">
        <f t="shared" si="1"/>
        <v>7.6997309401300198</v>
      </c>
      <c r="N10" s="50">
        <f t="shared" si="5"/>
        <v>7.6997309401300198</v>
      </c>
      <c r="O10" s="18">
        <v>5726.2389999999996</v>
      </c>
      <c r="P10" s="12">
        <f t="shared" si="2"/>
        <v>4.9303472629201721</v>
      </c>
      <c r="Q10" s="12">
        <f t="shared" si="6"/>
        <v>4.9303472629201721</v>
      </c>
      <c r="R10" s="12"/>
      <c r="S10" s="12"/>
    </row>
    <row r="11" spans="1:22" ht="16">
      <c r="A11" s="3">
        <v>1996</v>
      </c>
      <c r="B11" s="21">
        <f>$C$2*'Historical responsibility C'!B11+(1-$C$2)*'Historical responsibility T'!B42</f>
        <v>19.629408026070973</v>
      </c>
      <c r="C11" s="13">
        <f t="shared" si="3"/>
        <v>71.974496095593565</v>
      </c>
      <c r="D11" s="24">
        <v>8844499</v>
      </c>
      <c r="E11" s="13">
        <f t="shared" si="4"/>
        <v>8.1377697137614664</v>
      </c>
      <c r="F11" s="13">
        <f t="shared" si="0"/>
        <v>44.192686996163765</v>
      </c>
      <c r="G11" s="13">
        <f t="shared" si="7"/>
        <v>44.192686996163765</v>
      </c>
      <c r="H11" s="2"/>
      <c r="I11" s="2"/>
      <c r="J11" s="3">
        <v>1996</v>
      </c>
      <c r="K11" s="22">
        <v>6.5900779454555103</v>
      </c>
      <c r="L11" s="22">
        <v>1.3212384105903401</v>
      </c>
      <c r="M11" s="12">
        <f t="shared" si="1"/>
        <v>7.9113163560458499</v>
      </c>
      <c r="N11" s="50">
        <f t="shared" si="5"/>
        <v>7.9113163560458499</v>
      </c>
      <c r="O11" s="18">
        <v>5805.5451999999996</v>
      </c>
      <c r="P11" s="12">
        <f t="shared" si="2"/>
        <v>4.9966297690987087</v>
      </c>
      <c r="Q11" s="12">
        <f t="shared" si="6"/>
        <v>4.9966297690987087</v>
      </c>
      <c r="R11" s="12"/>
      <c r="S11" s="12"/>
    </row>
    <row r="12" spans="1:22" ht="16">
      <c r="A12" s="3">
        <v>1997</v>
      </c>
      <c r="B12" s="21">
        <f>$C$2*'Historical responsibility C'!B12+(1-$C$2)*'Historical responsibility T'!B43</f>
        <v>18.229535545785627</v>
      </c>
      <c r="C12" s="13">
        <f t="shared" si="3"/>
        <v>66.841630334547304</v>
      </c>
      <c r="D12" s="24">
        <v>8847625</v>
      </c>
      <c r="E12" s="13">
        <f t="shared" si="4"/>
        <v>7.5547539972079853</v>
      </c>
      <c r="F12" s="13">
        <f t="shared" si="0"/>
        <v>46.58923654017584</v>
      </c>
      <c r="G12" s="13">
        <f t="shared" si="7"/>
        <v>46.58923654017584</v>
      </c>
      <c r="H12" s="2"/>
      <c r="I12" s="2"/>
      <c r="J12" s="3">
        <v>1997</v>
      </c>
      <c r="K12" s="22">
        <v>6.6306988631239703</v>
      </c>
      <c r="L12" s="22">
        <v>1.82059021301644</v>
      </c>
      <c r="M12" s="12">
        <f t="shared" si="1"/>
        <v>8.4512890761404105</v>
      </c>
      <c r="N12" s="50">
        <f t="shared" si="5"/>
        <v>8.4512890761404105</v>
      </c>
      <c r="O12" s="18">
        <v>5884.8513999999996</v>
      </c>
      <c r="P12" s="12">
        <f t="shared" si="2"/>
        <v>5.2657336336221121</v>
      </c>
      <c r="Q12" s="12">
        <f t="shared" si="6"/>
        <v>5.2657336336221121</v>
      </c>
      <c r="R12" s="12"/>
      <c r="S12" s="12"/>
    </row>
    <row r="13" spans="1:22" ht="16">
      <c r="A13" s="3">
        <v>1998</v>
      </c>
      <c r="B13" s="21">
        <f>$C$2*'Historical responsibility C'!B13+(1-$C$2)*'Historical responsibility T'!B44</f>
        <v>18.389999151064671</v>
      </c>
      <c r="C13" s="13">
        <f t="shared" si="3"/>
        <v>67.429996887237124</v>
      </c>
      <c r="D13" s="24">
        <v>8854322</v>
      </c>
      <c r="E13" s="13">
        <f t="shared" si="4"/>
        <v>7.615489575287314</v>
      </c>
      <c r="F13" s="13">
        <f t="shared" si="0"/>
        <v>43.584268003403231</v>
      </c>
      <c r="G13" s="13">
        <f t="shared" si="7"/>
        <v>43.584268003403231</v>
      </c>
      <c r="H13" s="2"/>
      <c r="I13" s="2"/>
      <c r="J13" s="3">
        <v>1998</v>
      </c>
      <c r="K13" s="22">
        <v>6.6053586699879796</v>
      </c>
      <c r="L13" s="22">
        <v>1.40131494564395</v>
      </c>
      <c r="M13" s="12">
        <f t="shared" si="1"/>
        <v>8.0066736156319287</v>
      </c>
      <c r="N13" s="50">
        <f t="shared" si="5"/>
        <v>8.0066736156319287</v>
      </c>
      <c r="O13" s="18">
        <v>5964.1575999999995</v>
      </c>
      <c r="P13" s="12">
        <f t="shared" si="2"/>
        <v>4.9223721481332205</v>
      </c>
      <c r="Q13" s="12">
        <f t="shared" si="6"/>
        <v>4.9223721481332205</v>
      </c>
      <c r="R13" s="12"/>
      <c r="S13" s="12"/>
    </row>
    <row r="14" spans="1:22" ht="16">
      <c r="A14" s="3">
        <v>1999</v>
      </c>
      <c r="B14" s="21">
        <f>$C$2*'Historical responsibility C'!B14+(1-$C$2)*'Historical responsibility T'!B45</f>
        <v>17.468098265059183</v>
      </c>
      <c r="C14" s="13">
        <f t="shared" si="3"/>
        <v>64.049693638550337</v>
      </c>
      <c r="D14" s="24">
        <v>8861426</v>
      </c>
      <c r="E14" s="13">
        <f t="shared" si="4"/>
        <v>7.2279217406487781</v>
      </c>
      <c r="F14" s="13">
        <f t="shared" si="0"/>
        <v>43.41577671381765</v>
      </c>
      <c r="G14" s="13">
        <f t="shared" si="7"/>
        <v>43.41577671381765</v>
      </c>
      <c r="H14" s="2"/>
      <c r="I14" s="2"/>
      <c r="J14" s="3">
        <v>1999</v>
      </c>
      <c r="K14" s="22">
        <v>6.6907376347379302</v>
      </c>
      <c r="L14" s="22">
        <v>1.38455844223987</v>
      </c>
      <c r="M14" s="12">
        <f t="shared" si="1"/>
        <v>8.0752960769777999</v>
      </c>
      <c r="N14" s="50">
        <f t="shared" si="5"/>
        <v>8.0752960769777999</v>
      </c>
      <c r="O14" s="18">
        <v>6043.4637999999995</v>
      </c>
      <c r="P14" s="12">
        <f t="shared" si="2"/>
        <v>4.899411981075918</v>
      </c>
      <c r="Q14" s="12">
        <f t="shared" si="6"/>
        <v>4.899411981075918</v>
      </c>
      <c r="R14" s="12"/>
      <c r="S14" s="12"/>
    </row>
    <row r="15" spans="1:22" ht="16">
      <c r="A15" s="3">
        <v>2000</v>
      </c>
      <c r="B15" s="21">
        <f>$C$2*'Historical responsibility C'!B15+(1-$C$2)*'Historical responsibility T'!B46</f>
        <v>17.417393046213949</v>
      </c>
      <c r="C15" s="13">
        <f t="shared" si="3"/>
        <v>63.86377450278448</v>
      </c>
      <c r="D15" s="24">
        <v>8882792</v>
      </c>
      <c r="E15" s="13">
        <f t="shared" si="4"/>
        <v>7.1896059823065182</v>
      </c>
      <c r="F15" s="13">
        <f t="shared" si="0"/>
        <v>43.217445637131277</v>
      </c>
      <c r="G15" s="13">
        <f t="shared" si="7"/>
        <v>43.217445637131277</v>
      </c>
      <c r="H15" s="2"/>
      <c r="I15" s="2"/>
      <c r="J15" s="3">
        <v>2000</v>
      </c>
      <c r="K15" s="22">
        <v>6.8859606814941499</v>
      </c>
      <c r="L15" s="22">
        <v>1.23834240280816</v>
      </c>
      <c r="M15" s="12">
        <f t="shared" si="1"/>
        <v>8.1243030843023103</v>
      </c>
      <c r="N15" s="50">
        <f t="shared" si="5"/>
        <v>8.1243030843023103</v>
      </c>
      <c r="O15" s="18">
        <v>6122.77</v>
      </c>
      <c r="P15" s="12">
        <f t="shared" si="2"/>
        <v>4.8652997432711782</v>
      </c>
      <c r="Q15" s="12">
        <f t="shared" si="6"/>
        <v>4.8652997432711782</v>
      </c>
      <c r="R15" s="12"/>
      <c r="S15" s="12"/>
    </row>
    <row r="16" spans="1:22" ht="16">
      <c r="A16" s="3">
        <v>2001</v>
      </c>
      <c r="B16" s="21">
        <f>$C$2*'Historical responsibility C'!B16+(1-$C$2)*'Historical responsibility T'!B47</f>
        <v>17.209979678232415</v>
      </c>
      <c r="C16" s="13">
        <f t="shared" si="3"/>
        <v>63.103258820185523</v>
      </c>
      <c r="D16" s="24">
        <v>8909128</v>
      </c>
      <c r="E16" s="13">
        <f t="shared" si="4"/>
        <v>7.0829893587998196</v>
      </c>
      <c r="F16" s="13">
        <f t="shared" si="0"/>
        <v>42.585324435760064</v>
      </c>
      <c r="G16" s="13">
        <f t="shared" si="7"/>
        <v>42.585324435760064</v>
      </c>
      <c r="H16" s="2"/>
      <c r="I16" s="2"/>
      <c r="J16" s="3">
        <v>2001</v>
      </c>
      <c r="K16" s="22">
        <v>6.9451827196521601</v>
      </c>
      <c r="L16" s="22">
        <v>1.13671228370396</v>
      </c>
      <c r="M16" s="12">
        <f t="shared" si="1"/>
        <v>8.0818950033561201</v>
      </c>
      <c r="N16" s="50">
        <f t="shared" si="5"/>
        <v>8.0818950033561201</v>
      </c>
      <c r="O16" s="18">
        <v>6199.5458000000008</v>
      </c>
      <c r="P16" s="12">
        <f t="shared" si="2"/>
        <v>4.7799654955861071</v>
      </c>
      <c r="Q16" s="12">
        <f t="shared" si="6"/>
        <v>4.7799654955861071</v>
      </c>
      <c r="R16" s="12"/>
      <c r="S16" s="12"/>
      <c r="V16" s="54"/>
    </row>
    <row r="17" spans="1:66" ht="16">
      <c r="A17" s="3">
        <v>2002</v>
      </c>
      <c r="B17" s="21">
        <f>$C$2*'Historical responsibility C'!B17+(1-$C$2)*'Historical responsibility T'!B48</f>
        <v>17.618377757451448</v>
      </c>
      <c r="C17" s="13">
        <f t="shared" si="3"/>
        <v>64.60071844398864</v>
      </c>
      <c r="D17" s="24">
        <v>8940788</v>
      </c>
      <c r="E17" s="13">
        <f t="shared" si="4"/>
        <v>7.2253942766553285</v>
      </c>
      <c r="F17" s="13">
        <f t="shared" si="0"/>
        <v>43.841750260085334</v>
      </c>
      <c r="G17" s="13">
        <f t="shared" si="7"/>
        <v>43.841750260085334</v>
      </c>
      <c r="H17" s="2"/>
      <c r="I17" s="2"/>
      <c r="J17" s="3">
        <v>2002</v>
      </c>
      <c r="K17" s="22">
        <v>7.1058552338813801</v>
      </c>
      <c r="L17" s="22">
        <v>1.287697919452</v>
      </c>
      <c r="M17" s="12">
        <f t="shared" si="1"/>
        <v>8.3935531533333805</v>
      </c>
      <c r="N17" s="50">
        <f t="shared" si="5"/>
        <v>8.3935531533333805</v>
      </c>
      <c r="O17" s="18">
        <v>6276.3216000000011</v>
      </c>
      <c r="P17" s="12">
        <f t="shared" si="2"/>
        <v>4.9035666945783012</v>
      </c>
      <c r="Q17" s="12">
        <f t="shared" si="6"/>
        <v>4.9035666945783012</v>
      </c>
      <c r="R17" s="12"/>
      <c r="S17" s="12"/>
    </row>
    <row r="18" spans="1:66" ht="16">
      <c r="A18" s="3">
        <v>2003</v>
      </c>
      <c r="B18" s="21">
        <f>$C$2*'Historical responsibility C'!B18+(1-$C$2)*'Historical responsibility T'!B49</f>
        <v>18.232386241797371</v>
      </c>
      <c r="C18" s="13">
        <f t="shared" si="3"/>
        <v>66.852082886590367</v>
      </c>
      <c r="D18" s="24">
        <v>8975670</v>
      </c>
      <c r="E18" s="13">
        <f t="shared" si="4"/>
        <v>7.4481440256371245</v>
      </c>
      <c r="F18" s="13">
        <f t="shared" si="0"/>
        <v>45.8885001616107</v>
      </c>
      <c r="G18" s="13">
        <f t="shared" si="7"/>
        <v>45.8885001616107</v>
      </c>
      <c r="H18" s="2"/>
      <c r="I18" s="2"/>
      <c r="J18" s="3">
        <v>2003</v>
      </c>
      <c r="K18" s="22">
        <v>7.4682055674419496</v>
      </c>
      <c r="L18" s="22">
        <v>1.39010841002953</v>
      </c>
      <c r="M18" s="12">
        <f t="shared" si="1"/>
        <v>8.8583139774714788</v>
      </c>
      <c r="N18" s="50">
        <f t="shared" si="5"/>
        <v>8.8583139774714788</v>
      </c>
      <c r="O18" s="18">
        <v>6353.0974000000015</v>
      </c>
      <c r="P18" s="12">
        <f t="shared" si="2"/>
        <v>5.1125431484903858</v>
      </c>
      <c r="Q18" s="12">
        <f t="shared" si="6"/>
        <v>5.1125431484903858</v>
      </c>
      <c r="R18" s="12"/>
      <c r="S18" s="12"/>
      <c r="V18" t="s">
        <v>91</v>
      </c>
      <c r="AP18" s="55" t="s">
        <v>90</v>
      </c>
    </row>
    <row r="19" spans="1:66" ht="16">
      <c r="A19" s="3">
        <v>2004</v>
      </c>
      <c r="B19" s="21">
        <f>$C$2*'Historical responsibility C'!B19+(1-$C$2)*'Historical responsibility T'!B50</f>
        <v>18.241897275669864</v>
      </c>
      <c r="C19" s="13">
        <f t="shared" si="3"/>
        <v>66.886956677456169</v>
      </c>
      <c r="D19" s="24">
        <v>9011392</v>
      </c>
      <c r="E19" s="13">
        <f t="shared" si="4"/>
        <v>7.4224888538259313</v>
      </c>
      <c r="F19" s="13">
        <f t="shared" si="0"/>
        <v>46.564028874260863</v>
      </c>
      <c r="G19" s="13">
        <f t="shared" si="7"/>
        <v>46.564028874260863</v>
      </c>
      <c r="H19" s="2"/>
      <c r="I19" s="2"/>
      <c r="J19" s="3">
        <v>2004</v>
      </c>
      <c r="K19" s="22">
        <v>7.8122933949645299</v>
      </c>
      <c r="L19" s="22">
        <v>1.2489885914962899</v>
      </c>
      <c r="M19" s="12">
        <f t="shared" si="1"/>
        <v>9.0612819864608198</v>
      </c>
      <c r="N19" s="50">
        <f t="shared" si="5"/>
        <v>9.0612819864608198</v>
      </c>
      <c r="O19" s="18">
        <v>6429.8732000000018</v>
      </c>
      <c r="P19" s="12">
        <f t="shared" si="2"/>
        <v>5.1672404079481691</v>
      </c>
      <c r="Q19" s="12">
        <f t="shared" si="6"/>
        <v>5.1672404079481691</v>
      </c>
      <c r="R19" s="12"/>
      <c r="S19" s="12"/>
      <c r="U19" s="54">
        <v>0.33</v>
      </c>
      <c r="V19" s="54">
        <v>9.9999999999999995E-8</v>
      </c>
      <c r="W19" s="54">
        <v>0.05</v>
      </c>
      <c r="X19" s="54">
        <v>0.1</v>
      </c>
      <c r="Y19" s="54">
        <v>0.15</v>
      </c>
      <c r="Z19" s="54">
        <v>0.2</v>
      </c>
      <c r="AA19" s="54">
        <v>0.25</v>
      </c>
      <c r="AB19" s="54">
        <v>0.3</v>
      </c>
      <c r="AC19" s="54">
        <v>0.35</v>
      </c>
      <c r="AD19" s="54">
        <v>0.4</v>
      </c>
      <c r="AE19" s="54">
        <v>0.45</v>
      </c>
      <c r="AF19" s="54">
        <v>0.5</v>
      </c>
      <c r="AG19" s="54">
        <v>0.55000000000000004</v>
      </c>
      <c r="AH19" s="54">
        <v>0.6</v>
      </c>
      <c r="AI19" s="54">
        <v>0.65</v>
      </c>
      <c r="AJ19" s="54">
        <v>0.7</v>
      </c>
      <c r="AK19" s="54">
        <v>0.75</v>
      </c>
      <c r="AL19" s="54">
        <v>0.8</v>
      </c>
      <c r="AM19" s="54">
        <v>0.85</v>
      </c>
      <c r="AN19" s="54">
        <v>0.9</v>
      </c>
      <c r="AO19" s="54">
        <v>0.95</v>
      </c>
      <c r="AP19" s="54">
        <v>1</v>
      </c>
    </row>
    <row r="20" spans="1:66" ht="16">
      <c r="A20" s="3">
        <v>2005</v>
      </c>
      <c r="B20" s="21">
        <f>$C$2*'Historical responsibility C'!B20+(1-$C$2)*'Historical responsibility T'!B51</f>
        <v>17.630072247256876</v>
      </c>
      <c r="C20" s="13">
        <f t="shared" si="3"/>
        <v>64.64359823994188</v>
      </c>
      <c r="D20" s="24">
        <v>9047752</v>
      </c>
      <c r="E20" s="13">
        <f t="shared" si="4"/>
        <v>7.14471376314712</v>
      </c>
      <c r="F20" s="13">
        <f t="shared" si="0"/>
        <v>46.776895703245458</v>
      </c>
      <c r="G20" s="13">
        <f t="shared" si="7"/>
        <v>46.776895703245458</v>
      </c>
      <c r="H20" s="2"/>
      <c r="I20" s="2"/>
      <c r="J20" s="3">
        <v>2005</v>
      </c>
      <c r="K20" s="22">
        <v>8.0783377088778998</v>
      </c>
      <c r="L20" s="22">
        <v>1.1189718644072999</v>
      </c>
      <c r="M20" s="12">
        <f t="shared" si="1"/>
        <v>9.1973095732851995</v>
      </c>
      <c r="N20" s="50">
        <f t="shared" si="5"/>
        <v>9.1973095732851995</v>
      </c>
      <c r="O20" s="18">
        <v>6522.9120999999996</v>
      </c>
      <c r="P20" s="12">
        <f t="shared" si="2"/>
        <v>5.170001974329697</v>
      </c>
      <c r="Q20" s="12">
        <f t="shared" si="6"/>
        <v>5.170001974329697</v>
      </c>
      <c r="R20" s="12"/>
      <c r="S20" s="57" t="s">
        <v>92</v>
      </c>
      <c r="T20">
        <v>1990</v>
      </c>
      <c r="U20" s="4">
        <f>E77</f>
        <v>169.94591565162114</v>
      </c>
      <c r="V20" s="4">
        <f t="dataTable" ref="V20:AP39" dt2D="0" dtr="1" r1="U19"/>
        <v>438.58709468658026</v>
      </c>
      <c r="W20" s="4">
        <v>397.88395481402222</v>
      </c>
      <c r="X20" s="4">
        <v>357.180733535022</v>
      </c>
      <c r="Y20" s="4">
        <v>316.47751225602224</v>
      </c>
      <c r="Z20" s="4">
        <v>275.77429097702179</v>
      </c>
      <c r="AA20" s="4">
        <v>235.07106969802135</v>
      </c>
      <c r="AB20" s="4">
        <v>194.36784841902136</v>
      </c>
      <c r="AC20" s="4">
        <v>153.66462714002114</v>
      </c>
      <c r="AD20" s="4">
        <v>112.96140586102092</v>
      </c>
      <c r="AE20" s="4">
        <v>72.258184582020704</v>
      </c>
      <c r="AF20" s="4">
        <v>31.554963303020941</v>
      </c>
      <c r="AG20" s="4">
        <v>-9.1482579759785949</v>
      </c>
      <c r="AH20" s="4">
        <v>-49.851479254979495</v>
      </c>
      <c r="AI20" s="4">
        <v>-90.55470053397994</v>
      </c>
      <c r="AJ20" s="4">
        <v>-131.25792181298038</v>
      </c>
      <c r="AK20" s="4">
        <v>-171.96114309198038</v>
      </c>
      <c r="AL20" s="4">
        <v>-212.66436437097991</v>
      </c>
      <c r="AM20" s="4">
        <v>-253.36758564998081</v>
      </c>
      <c r="AN20" s="4">
        <v>-294.07080692898126</v>
      </c>
      <c r="AO20" s="4">
        <v>-334.77402820798079</v>
      </c>
      <c r="AP20" s="4">
        <v>-375.47724948698169</v>
      </c>
    </row>
    <row r="21" spans="1:66" ht="16">
      <c r="A21" s="3">
        <v>2006</v>
      </c>
      <c r="B21" s="21">
        <f>$C$2*'Historical responsibility C'!B21+(1-$C$2)*'Historical responsibility T'!B52</f>
        <v>17.825400662511598</v>
      </c>
      <c r="C21" s="13">
        <f t="shared" si="3"/>
        <v>65.359802429209196</v>
      </c>
      <c r="D21" s="24">
        <v>9113257</v>
      </c>
      <c r="E21" s="13">
        <f t="shared" si="4"/>
        <v>7.1719476833813856</v>
      </c>
      <c r="F21" s="13">
        <f t="shared" si="0"/>
        <v>48.626251979593782</v>
      </c>
      <c r="G21" s="13">
        <f t="shared" si="7"/>
        <v>48.626251979593782</v>
      </c>
      <c r="H21" s="2"/>
      <c r="I21" s="2"/>
      <c r="J21" s="3">
        <v>2006</v>
      </c>
      <c r="K21" s="22">
        <v>8.3459964463919096</v>
      </c>
      <c r="L21" s="22">
        <v>1.26637114567502</v>
      </c>
      <c r="M21" s="12">
        <f t="shared" si="1"/>
        <v>9.6123675920669296</v>
      </c>
      <c r="N21" s="50">
        <f t="shared" si="5"/>
        <v>9.6123675920669296</v>
      </c>
      <c r="O21" s="18">
        <v>6605.4836599999999</v>
      </c>
      <c r="P21" s="12">
        <f t="shared" si="2"/>
        <v>5.3357709520969046</v>
      </c>
      <c r="Q21" s="12">
        <f t="shared" si="6"/>
        <v>5.3357709520969046</v>
      </c>
      <c r="R21" s="12"/>
      <c r="S21" s="57"/>
      <c r="T21">
        <v>2000</v>
      </c>
      <c r="U21" s="4">
        <f t="shared" ref="U21:U24" si="8">E78</f>
        <v>435.29513646111968</v>
      </c>
      <c r="V21" s="4">
        <v>617.17891115449652</v>
      </c>
      <c r="W21" s="4">
        <v>589.62081023903761</v>
      </c>
      <c r="X21" s="4">
        <v>562.06265420726641</v>
      </c>
      <c r="Y21" s="4">
        <v>534.5044981754952</v>
      </c>
      <c r="Z21" s="4">
        <v>506.94634214372445</v>
      </c>
      <c r="AA21" s="4">
        <v>479.38818611195347</v>
      </c>
      <c r="AB21" s="4">
        <v>451.83003008018204</v>
      </c>
      <c r="AC21" s="4">
        <v>424.27187404841106</v>
      </c>
      <c r="AD21" s="4">
        <v>396.71371801663986</v>
      </c>
      <c r="AE21" s="4">
        <v>369.15556198486956</v>
      </c>
      <c r="AF21" s="4">
        <v>341.59740595309813</v>
      </c>
      <c r="AG21" s="4">
        <v>314.03924992132715</v>
      </c>
      <c r="AH21" s="4">
        <v>286.48109388955618</v>
      </c>
      <c r="AI21" s="4">
        <v>258.9229378577852</v>
      </c>
      <c r="AJ21" s="4">
        <v>231.36478182601354</v>
      </c>
      <c r="AK21" s="4">
        <v>203.80662579424279</v>
      </c>
      <c r="AL21" s="4">
        <v>176.24846976247227</v>
      </c>
      <c r="AM21" s="4">
        <v>148.69031373070084</v>
      </c>
      <c r="AN21" s="4">
        <v>121.13215769892963</v>
      </c>
      <c r="AO21" s="4">
        <v>93.574001667158427</v>
      </c>
      <c r="AP21" s="4">
        <v>66.015845635387905</v>
      </c>
    </row>
    <row r="22" spans="1:66" ht="16">
      <c r="A22" s="3">
        <v>2007</v>
      </c>
      <c r="B22" s="21">
        <f>$C$2*'Historical responsibility C'!B22+(1-$C$2)*'Historical responsibility T'!B53</f>
        <v>17.895974607459934</v>
      </c>
      <c r="C22" s="13">
        <f t="shared" si="3"/>
        <v>65.618573560686414</v>
      </c>
      <c r="D22" s="24">
        <v>9182927</v>
      </c>
      <c r="E22" s="13">
        <f t="shared" si="4"/>
        <v>7.145714385041547</v>
      </c>
      <c r="F22" s="13">
        <f t="shared" si="0"/>
        <v>48.828252531789119</v>
      </c>
      <c r="G22" s="13">
        <f t="shared" si="7"/>
        <v>48.828252531789119</v>
      </c>
      <c r="H22" s="2"/>
      <c r="I22" s="2"/>
      <c r="J22" s="3">
        <v>2007</v>
      </c>
      <c r="K22" s="22">
        <v>8.5943901050123408</v>
      </c>
      <c r="L22" s="22">
        <v>1.10442030385473</v>
      </c>
      <c r="M22" s="12">
        <f t="shared" si="1"/>
        <v>9.6988104088670717</v>
      </c>
      <c r="N22" s="50">
        <f t="shared" si="5"/>
        <v>9.6988104088670717</v>
      </c>
      <c r="O22" s="18">
        <v>6688.0552200000002</v>
      </c>
      <c r="P22" s="12">
        <f t="shared" si="2"/>
        <v>5.3172863654245663</v>
      </c>
      <c r="Q22" s="12">
        <f t="shared" si="6"/>
        <v>5.3172863654245663</v>
      </c>
      <c r="R22" s="12"/>
      <c r="S22" s="57"/>
      <c r="T22">
        <v>2010</v>
      </c>
      <c r="U22" s="4">
        <f t="shared" si="8"/>
        <v>630.49211283183502</v>
      </c>
      <c r="V22" s="4">
        <v>716.01129158459003</v>
      </c>
      <c r="W22" s="4">
        <v>703.05386224682388</v>
      </c>
      <c r="X22" s="4">
        <v>690.09640699414729</v>
      </c>
      <c r="Y22" s="4">
        <v>677.13895174147069</v>
      </c>
      <c r="Z22" s="4">
        <v>664.18149648879421</v>
      </c>
      <c r="AA22" s="4">
        <v>651.22404123611773</v>
      </c>
      <c r="AB22" s="4">
        <v>638.26658598344102</v>
      </c>
      <c r="AC22" s="4">
        <v>625.30913073076454</v>
      </c>
      <c r="AD22" s="4">
        <v>612.35167547808794</v>
      </c>
      <c r="AE22" s="4">
        <v>599.39422022541135</v>
      </c>
      <c r="AF22" s="4">
        <v>586.43676497273486</v>
      </c>
      <c r="AG22" s="4">
        <v>573.47930972005815</v>
      </c>
      <c r="AH22" s="4">
        <v>560.52185446738167</v>
      </c>
      <c r="AI22" s="4">
        <v>547.56439921470496</v>
      </c>
      <c r="AJ22" s="4">
        <v>534.60694396202848</v>
      </c>
      <c r="AK22" s="4">
        <v>521.64948870935177</v>
      </c>
      <c r="AL22" s="4">
        <v>508.69203345667529</v>
      </c>
      <c r="AM22" s="4">
        <v>495.73457820399881</v>
      </c>
      <c r="AN22" s="4">
        <v>482.77712295132233</v>
      </c>
      <c r="AO22" s="4">
        <v>469.8196676986455</v>
      </c>
      <c r="AP22" s="4">
        <v>456.86221244596902</v>
      </c>
    </row>
    <row r="23" spans="1:66" ht="16">
      <c r="A23" s="3">
        <v>2008</v>
      </c>
      <c r="B23" s="21">
        <f>$C$2*'Historical responsibility C'!B23+(1-$C$2)*'Historical responsibility T'!B54</f>
        <v>17.183797816376391</v>
      </c>
      <c r="C23" s="13">
        <f t="shared" si="3"/>
        <v>63.007258660046766</v>
      </c>
      <c r="D23" s="24">
        <v>9256347</v>
      </c>
      <c r="E23" s="13">
        <f t="shared" si="4"/>
        <v>6.8069248765249144</v>
      </c>
      <c r="F23" s="13">
        <f t="shared" si="0"/>
        <v>49.532587691352987</v>
      </c>
      <c r="G23" s="13">
        <f t="shared" si="7"/>
        <v>49.532587691352987</v>
      </c>
      <c r="H23" s="2"/>
      <c r="I23" s="2"/>
      <c r="J23" s="3">
        <v>2008</v>
      </c>
      <c r="K23" s="22">
        <v>8.7515759836653597</v>
      </c>
      <c r="L23" s="22">
        <v>1.1296045542776501</v>
      </c>
      <c r="M23" s="12">
        <f t="shared" si="1"/>
        <v>9.8811805379430098</v>
      </c>
      <c r="N23" s="50">
        <f t="shared" si="5"/>
        <v>9.8811805379430098</v>
      </c>
      <c r="O23" s="18">
        <v>6770.6267800000005</v>
      </c>
      <c r="P23" s="12">
        <f t="shared" si="2"/>
        <v>5.3512025522976812</v>
      </c>
      <c r="Q23" s="12">
        <f t="shared" si="6"/>
        <v>5.3512025522976812</v>
      </c>
      <c r="R23" s="12"/>
      <c r="S23" s="57"/>
      <c r="T23" s="55" t="s">
        <v>1</v>
      </c>
      <c r="U23" s="4">
        <f t="shared" si="8"/>
        <v>672.78007491311826</v>
      </c>
      <c r="V23" s="4">
        <v>665.93936643898121</v>
      </c>
      <c r="W23" s="4">
        <v>666.97583566105072</v>
      </c>
      <c r="X23" s="4">
        <v>668.01230695606273</v>
      </c>
      <c r="Y23" s="4">
        <v>669.04877825107474</v>
      </c>
      <c r="Z23" s="4">
        <v>670.08524954608697</v>
      </c>
      <c r="AA23" s="4">
        <v>671.12172084109898</v>
      </c>
      <c r="AB23" s="4">
        <v>672.15819213611098</v>
      </c>
      <c r="AC23" s="4">
        <v>673.1946634311231</v>
      </c>
      <c r="AD23" s="4">
        <v>674.23113472613522</v>
      </c>
      <c r="AE23" s="4">
        <v>675.26760602114734</v>
      </c>
      <c r="AF23" s="4">
        <v>676.30407731615935</v>
      </c>
      <c r="AG23" s="4">
        <v>677.34054861117147</v>
      </c>
      <c r="AH23" s="4">
        <v>678.37701990618348</v>
      </c>
      <c r="AI23" s="4">
        <v>679.4134912011956</v>
      </c>
      <c r="AJ23" s="4">
        <v>680.4499624962076</v>
      </c>
      <c r="AK23" s="4">
        <v>681.48643379121972</v>
      </c>
      <c r="AL23" s="4">
        <v>682.52290508623173</v>
      </c>
      <c r="AM23" s="4">
        <v>683.55937638124396</v>
      </c>
      <c r="AN23" s="4">
        <v>684.59584767625597</v>
      </c>
      <c r="AO23" s="4">
        <v>685.63231897126798</v>
      </c>
      <c r="AP23" s="4">
        <v>686.6687902662801</v>
      </c>
    </row>
    <row r="24" spans="1:66" ht="16">
      <c r="A24" s="3">
        <v>2009</v>
      </c>
      <c r="B24" s="21">
        <f>$C$2*'Historical responsibility C'!B24+(1-$C$2)*'Historical responsibility T'!B55</f>
        <v>15.353163829239307</v>
      </c>
      <c r="C24" s="13">
        <f t="shared" si="3"/>
        <v>56.294934040544128</v>
      </c>
      <c r="D24" s="24">
        <v>9340682</v>
      </c>
      <c r="E24" s="13">
        <f t="shared" si="4"/>
        <v>6.0268547886058137</v>
      </c>
      <c r="F24" s="13">
        <f t="shared" si="0"/>
        <v>49.283422950769463</v>
      </c>
      <c r="G24" s="13">
        <f t="shared" si="7"/>
        <v>49.283422950769463</v>
      </c>
      <c r="H24" s="2"/>
      <c r="I24" s="2"/>
      <c r="J24" s="3">
        <v>2009</v>
      </c>
      <c r="K24" s="22">
        <v>8.6253799615661499</v>
      </c>
      <c r="L24" s="22">
        <v>1.23614657040923</v>
      </c>
      <c r="M24" s="12">
        <f t="shared" si="1"/>
        <v>9.8615265319753806</v>
      </c>
      <c r="N24" s="50">
        <f t="shared" si="5"/>
        <v>9.8615265319753806</v>
      </c>
      <c r="O24" s="18">
        <v>6853.1983400000008</v>
      </c>
      <c r="P24" s="12">
        <f t="shared" si="2"/>
        <v>5.2762124811410409</v>
      </c>
      <c r="Q24" s="12">
        <f t="shared" si="6"/>
        <v>5.2762124811410409</v>
      </c>
      <c r="R24" s="12"/>
      <c r="S24" s="57"/>
      <c r="T24" s="55" t="s">
        <v>2</v>
      </c>
      <c r="U24" s="4">
        <f t="shared" si="8"/>
        <v>214.60750796709743</v>
      </c>
      <c r="V24" s="4">
        <v>214.60750796709743</v>
      </c>
      <c r="W24" s="4">
        <v>214.60750796709743</v>
      </c>
      <c r="X24" s="4">
        <v>214.60750796709743</v>
      </c>
      <c r="Y24" s="4">
        <v>214.60750796709743</v>
      </c>
      <c r="Z24" s="4">
        <v>214.60750796709743</v>
      </c>
      <c r="AA24" s="4">
        <v>214.60750796709743</v>
      </c>
      <c r="AB24" s="4">
        <v>214.60750796709743</v>
      </c>
      <c r="AC24" s="4">
        <v>214.60750796709743</v>
      </c>
      <c r="AD24" s="4">
        <v>214.60750796709743</v>
      </c>
      <c r="AE24" s="4">
        <v>214.60750796709743</v>
      </c>
      <c r="AF24" s="4">
        <v>214.60750796709743</v>
      </c>
      <c r="AG24" s="4">
        <v>214.60750796709743</v>
      </c>
      <c r="AH24" s="4">
        <v>214.60750796709743</v>
      </c>
      <c r="AI24" s="4">
        <v>214.60750796709743</v>
      </c>
      <c r="AJ24" s="4">
        <v>214.60750796709743</v>
      </c>
      <c r="AK24" s="4">
        <v>214.60750796709743</v>
      </c>
      <c r="AL24" s="4">
        <v>214.60750796709743</v>
      </c>
      <c r="AM24" s="4">
        <v>214.60750796709743</v>
      </c>
      <c r="AN24" s="4">
        <v>214.60750796709743</v>
      </c>
      <c r="AO24" s="4">
        <v>214.60750796709743</v>
      </c>
      <c r="AP24" s="4">
        <v>214.60750796709743</v>
      </c>
      <c r="AT24" s="54">
        <v>9.9999999999999995E-8</v>
      </c>
      <c r="AU24" s="54">
        <v>0.05</v>
      </c>
      <c r="AV24" s="54">
        <v>0.1</v>
      </c>
      <c r="AW24" s="54">
        <v>0.15</v>
      </c>
      <c r="AX24" s="54">
        <v>0.2</v>
      </c>
      <c r="AY24" s="54">
        <v>0.25</v>
      </c>
      <c r="AZ24" s="54">
        <v>0.3</v>
      </c>
      <c r="BA24" s="54">
        <v>0.35</v>
      </c>
      <c r="BB24" s="54">
        <v>0.4</v>
      </c>
      <c r="BC24" s="54">
        <v>0.45</v>
      </c>
      <c r="BD24" s="54">
        <v>0.5</v>
      </c>
      <c r="BE24" s="54">
        <v>0.55000000000000004</v>
      </c>
      <c r="BF24" s="54">
        <v>0.6</v>
      </c>
      <c r="BG24" s="54">
        <v>0.65</v>
      </c>
      <c r="BH24" s="54">
        <v>0.7</v>
      </c>
      <c r="BI24" s="54">
        <v>0.75</v>
      </c>
      <c r="BJ24" s="54">
        <v>0.8</v>
      </c>
      <c r="BK24" s="54">
        <v>0.85</v>
      </c>
      <c r="BL24" s="54">
        <v>0.9</v>
      </c>
      <c r="BM24" s="54">
        <v>0.95</v>
      </c>
      <c r="BN24" s="54">
        <v>1</v>
      </c>
    </row>
    <row r="25" spans="1:66" ht="16">
      <c r="A25" s="3">
        <v>2010</v>
      </c>
      <c r="B25" s="21">
        <f>$C$2*'Historical responsibility C'!B25+(1-$C$2)*'Historical responsibility T'!B56</f>
        <v>17.49322199819159</v>
      </c>
      <c r="C25" s="13">
        <f t="shared" si="3"/>
        <v>64.141813993369155</v>
      </c>
      <c r="D25" s="24">
        <v>9415570</v>
      </c>
      <c r="E25" s="13">
        <f t="shared" si="4"/>
        <v>6.8123134333204636</v>
      </c>
      <c r="F25" s="13">
        <f t="shared" si="0"/>
        <v>51.10635030145896</v>
      </c>
      <c r="G25" s="13">
        <f t="shared" si="7"/>
        <v>51.10635030145896</v>
      </c>
      <c r="H25" s="2"/>
      <c r="I25" s="2"/>
      <c r="J25" s="3">
        <v>2010</v>
      </c>
      <c r="K25" s="22">
        <v>9.0993760753872301</v>
      </c>
      <c r="L25" s="22">
        <v>1.1678115178434501</v>
      </c>
      <c r="M25" s="12">
        <f t="shared" si="1"/>
        <v>10.26718759323068</v>
      </c>
      <c r="N25" s="50">
        <f t="shared" si="5"/>
        <v>10.26718759323068</v>
      </c>
      <c r="O25" s="18">
        <v>6935.7699000000002</v>
      </c>
      <c r="P25" s="12">
        <f t="shared" si="2"/>
        <v>5.4278551698366604</v>
      </c>
      <c r="Q25" s="12">
        <f t="shared" si="6"/>
        <v>5.4278551698366604</v>
      </c>
      <c r="R25" s="12"/>
      <c r="S25" s="57" t="s">
        <v>93</v>
      </c>
      <c r="T25">
        <v>1990</v>
      </c>
      <c r="U25" s="56">
        <f>K77</f>
        <v>2025.8159178202957</v>
      </c>
      <c r="V25">
        <v>2040.4119022812658</v>
      </c>
      <c r="W25">
        <v>2037.805699668178</v>
      </c>
      <c r="X25">
        <v>2035.3604810954291</v>
      </c>
      <c r="Y25">
        <v>2033.0617820200048</v>
      </c>
      <c r="Z25">
        <v>2030.896816171572</v>
      </c>
      <c r="AA25">
        <v>2028.8542429798276</v>
      </c>
      <c r="AB25">
        <v>2026.9239688658531</v>
      </c>
      <c r="AC25">
        <v>2025.096980431153</v>
      </c>
      <c r="AD25">
        <v>2023.3652037262691</v>
      </c>
      <c r="AE25">
        <v>2021.7213849628774</v>
      </c>
      <c r="AF25">
        <v>2020.158988951838</v>
      </c>
      <c r="AG25">
        <v>2018.6721122684105</v>
      </c>
      <c r="AH25">
        <v>2017.2554087119731</v>
      </c>
      <c r="AI25">
        <v>2015.90402507622</v>
      </c>
      <c r="AJ25">
        <v>2014.6135456034867</v>
      </c>
      <c r="AK25">
        <v>2013.3799437835739</v>
      </c>
      <c r="AL25">
        <v>2012.1995403885196</v>
      </c>
      <c r="AM25">
        <v>2011.0689668219634</v>
      </c>
      <c r="AN25">
        <v>2009.9851330141007</v>
      </c>
      <c r="AO25">
        <v>2008.9451992178233</v>
      </c>
      <c r="AP25">
        <v>2007.9465511639669</v>
      </c>
      <c r="AS25" t="s">
        <v>95</v>
      </c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</row>
    <row r="26" spans="1:66" ht="16">
      <c r="A26" s="3">
        <v>2011</v>
      </c>
      <c r="B26" s="21">
        <f>$C$2*'Historical responsibility C'!B26+(1-$C$2)*'Historical responsibility T'!B57</f>
        <v>16.476551959960535</v>
      </c>
      <c r="C26" s="13">
        <f t="shared" si="3"/>
        <v>60.414023853188631</v>
      </c>
      <c r="D26" s="24">
        <v>9482855</v>
      </c>
      <c r="E26" s="13">
        <f t="shared" si="4"/>
        <v>6.3708686733255577</v>
      </c>
      <c r="F26" s="13">
        <f t="shared" si="0"/>
        <v>53.116996187811203</v>
      </c>
      <c r="G26" s="13">
        <f t="shared" si="7"/>
        <v>53.116996187811203</v>
      </c>
      <c r="H26" s="2"/>
      <c r="I26" s="2"/>
      <c r="J26" s="3">
        <v>2011</v>
      </c>
      <c r="K26" s="22">
        <v>9.4064170703450998</v>
      </c>
      <c r="L26" s="22">
        <v>1.31854201345431</v>
      </c>
      <c r="M26" s="12">
        <f t="shared" si="1"/>
        <v>10.72495908379941</v>
      </c>
      <c r="N26" s="50">
        <f t="shared" si="5"/>
        <v>10.72495908379941</v>
      </c>
      <c r="O26" s="18">
        <v>7020.5749000000005</v>
      </c>
      <c r="P26" s="12">
        <f t="shared" si="2"/>
        <v>5.6013717585907621</v>
      </c>
      <c r="Q26" s="12">
        <f t="shared" si="6"/>
        <v>5.6013717585907621</v>
      </c>
      <c r="R26" s="12"/>
      <c r="S26" s="57"/>
      <c r="T26">
        <v>2000</v>
      </c>
      <c r="U26" s="56">
        <f t="shared" ref="U26:U29" si="9">K78</f>
        <v>2036.4581181684616</v>
      </c>
      <c r="V26">
        <v>2049.1307874668355</v>
      </c>
      <c r="W26">
        <v>2046.8680045809988</v>
      </c>
      <c r="X26">
        <v>2044.7449928432468</v>
      </c>
      <c r="Y26">
        <v>2042.749193705667</v>
      </c>
      <c r="Z26">
        <v>2040.8695057467748</v>
      </c>
      <c r="AA26">
        <v>2039.0960827449956</v>
      </c>
      <c r="AB26">
        <v>2037.4201611538879</v>
      </c>
      <c r="AC26">
        <v>2035.8339152718909</v>
      </c>
      <c r="AD26">
        <v>2034.3303350551328</v>
      </c>
      <c r="AE26">
        <v>2032.9031225481158</v>
      </c>
      <c r="AF26">
        <v>2031.5466037045976</v>
      </c>
      <c r="AG26">
        <v>2030.255652995043</v>
      </c>
      <c r="AH26">
        <v>2029.0256286885244</v>
      </c>
      <c r="AI26">
        <v>2027.8523170864926</v>
      </c>
      <c r="AJ26">
        <v>2026.7318842963632</v>
      </c>
      <c r="AK26">
        <v>2025.6608343818179</v>
      </c>
      <c r="AL26">
        <v>2024.6359729273404</v>
      </c>
      <c r="AM26">
        <v>2023.6543752170412</v>
      </c>
      <c r="AN26">
        <v>2022.7133583600992</v>
      </c>
      <c r="AO26">
        <v>2021.8104568033273</v>
      </c>
      <c r="AP26" s="55">
        <v>2020.9434007602197</v>
      </c>
      <c r="AS26" t="s">
        <v>2</v>
      </c>
      <c r="AT26">
        <v>214.60750796709743</v>
      </c>
      <c r="AU26">
        <v>214.60750796709743</v>
      </c>
      <c r="AV26">
        <v>214.60750796709743</v>
      </c>
      <c r="AW26">
        <v>214.60750796709743</v>
      </c>
      <c r="AX26">
        <v>214.60750796709743</v>
      </c>
      <c r="AY26">
        <v>214.60750796709743</v>
      </c>
      <c r="AZ26">
        <v>214.60750796709743</v>
      </c>
      <c r="BA26">
        <v>214.60750796709743</v>
      </c>
      <c r="BB26">
        <v>214.60750796709743</v>
      </c>
      <c r="BC26">
        <v>214.60750796709743</v>
      </c>
      <c r="BD26">
        <v>214.60750796709743</v>
      </c>
      <c r="BE26">
        <v>214.60750796709743</v>
      </c>
      <c r="BF26">
        <v>214.60750796709743</v>
      </c>
      <c r="BG26">
        <v>214.60750796709743</v>
      </c>
      <c r="BH26">
        <v>214.60750796709743</v>
      </c>
      <c r="BI26">
        <v>214.60750796709743</v>
      </c>
      <c r="BJ26">
        <v>214.60750796709743</v>
      </c>
      <c r="BK26">
        <v>214.60750796709743</v>
      </c>
      <c r="BL26">
        <v>214.60750796709743</v>
      </c>
      <c r="BM26">
        <v>214.60750796709743</v>
      </c>
      <c r="BN26">
        <v>214.60750796709743</v>
      </c>
    </row>
    <row r="27" spans="1:66" ht="16">
      <c r="A27" s="3">
        <v>2012</v>
      </c>
      <c r="B27" s="21">
        <f>$C$2*'Historical responsibility C'!B27+(1-$C$2)*'Historical responsibility T'!B58</f>
        <v>15.624338900093687</v>
      </c>
      <c r="C27" s="13">
        <f t="shared" si="3"/>
        <v>57.289242633676849</v>
      </c>
      <c r="D27" s="24">
        <v>9555893</v>
      </c>
      <c r="E27" s="13">
        <f t="shared" si="4"/>
        <v>5.9951741437118278</v>
      </c>
      <c r="F27" s="13">
        <f t="shared" si="0"/>
        <v>53.35943222528249</v>
      </c>
      <c r="G27" s="13">
        <f t="shared" si="7"/>
        <v>53.35943222528249</v>
      </c>
      <c r="H27" s="2"/>
      <c r="I27" s="2"/>
      <c r="J27" s="3">
        <v>2012</v>
      </c>
      <c r="K27" s="22">
        <v>9.5443899952692099</v>
      </c>
      <c r="L27" s="22">
        <v>1.27632091081112</v>
      </c>
      <c r="M27" s="12">
        <f t="shared" si="1"/>
        <v>10.820710906080329</v>
      </c>
      <c r="N27" s="50">
        <f t="shared" si="5"/>
        <v>10.820710906080329</v>
      </c>
      <c r="O27" s="18">
        <v>7105.3799000000008</v>
      </c>
      <c r="P27" s="12">
        <f t="shared" si="2"/>
        <v>5.5839294376027953</v>
      </c>
      <c r="Q27" s="12">
        <f t="shared" si="6"/>
        <v>5.5839294376027953</v>
      </c>
      <c r="R27" s="12"/>
      <c r="S27" s="57"/>
      <c r="T27">
        <v>2010</v>
      </c>
      <c r="U27" s="56">
        <f t="shared" si="9"/>
        <v>2044.2867649741922</v>
      </c>
      <c r="V27" s="4">
        <v>2053.9558023786544</v>
      </c>
      <c r="W27" s="4">
        <v>2052.2293364032389</v>
      </c>
      <c r="X27" s="4">
        <v>2050.6095135057008</v>
      </c>
      <c r="Y27" s="4">
        <v>2049.0867517213678</v>
      </c>
      <c r="Z27" s="4">
        <v>2047.6525808489712</v>
      </c>
      <c r="AA27" s="4">
        <v>2046.2994883840443</v>
      </c>
      <c r="AB27" s="4">
        <v>2045.0207878853701</v>
      </c>
      <c r="AC27" s="4">
        <v>2043.8105084718868</v>
      </c>
      <c r="AD27" s="4">
        <v>2042.663301595881</v>
      </c>
      <c r="AE27" s="4">
        <v>2041.5743620213088</v>
      </c>
      <c r="AF27" s="4">
        <v>2040.5393605445863</v>
      </c>
      <c r="AG27" s="4">
        <v>2039.5543864713179</v>
      </c>
      <c r="AH27" s="4">
        <v>2038.6158982374577</v>
      </c>
      <c r="AI27" s="4">
        <v>2037.7206808605952</v>
      </c>
      <c r="AJ27" s="4">
        <v>2036.865809144</v>
      </c>
      <c r="AK27" s="4">
        <v>2036.0486157459907</v>
      </c>
      <c r="AL27" s="4">
        <v>2035.2666633802799</v>
      </c>
      <c r="AM27" s="4">
        <v>2034.5177205369412</v>
      </c>
      <c r="AN27" s="4">
        <v>2033.7997402145816</v>
      </c>
      <c r="AO27" s="4">
        <v>2033.1108412368346</v>
      </c>
      <c r="AP27" s="4">
        <v>2032.4492917940786</v>
      </c>
      <c r="AS27" t="s">
        <v>1</v>
      </c>
      <c r="AT27">
        <v>665.93936643898121</v>
      </c>
      <c r="AU27">
        <v>666.97583566105072</v>
      </c>
      <c r="AV27">
        <v>668.01230695606273</v>
      </c>
      <c r="AW27">
        <v>669.04877825107474</v>
      </c>
      <c r="AX27">
        <v>670.08524954608697</v>
      </c>
      <c r="AY27">
        <v>671.12172084109898</v>
      </c>
      <c r="AZ27">
        <v>672.15819213611098</v>
      </c>
      <c r="BA27">
        <v>673.1946634311231</v>
      </c>
      <c r="BB27">
        <v>674.23113472613522</v>
      </c>
      <c r="BC27">
        <v>675.26760602114734</v>
      </c>
      <c r="BD27">
        <v>676.30407731615935</v>
      </c>
      <c r="BE27">
        <v>677.34054861117147</v>
      </c>
      <c r="BF27">
        <v>678.37701990618348</v>
      </c>
      <c r="BG27">
        <v>679.4134912011956</v>
      </c>
      <c r="BH27">
        <v>680.4499624962076</v>
      </c>
      <c r="BI27">
        <v>681.48643379121972</v>
      </c>
      <c r="BJ27">
        <v>682.52290508623173</v>
      </c>
      <c r="BK27">
        <v>683.55937638124396</v>
      </c>
      <c r="BL27">
        <v>684.59584767625597</v>
      </c>
      <c r="BM27">
        <v>685.63231897126798</v>
      </c>
      <c r="BN27">
        <v>686.6687902662801</v>
      </c>
    </row>
    <row r="28" spans="1:66" ht="16">
      <c r="A28" s="3">
        <v>2013</v>
      </c>
      <c r="B28" s="21">
        <f>$C$2*'Historical responsibility C'!B28+(1-$C$2)*'Historical responsibility T'!B59</f>
        <v>15.010199466795871</v>
      </c>
      <c r="C28" s="13">
        <f t="shared" si="3"/>
        <v>55.037398044918199</v>
      </c>
      <c r="D28" s="24">
        <v>9644864</v>
      </c>
      <c r="E28" s="13">
        <f t="shared" si="4"/>
        <v>5.7063944131216573</v>
      </c>
      <c r="F28" s="13">
        <f t="shared" si="0"/>
        <v>53.153117689484077</v>
      </c>
      <c r="G28" s="13">
        <f t="shared" si="7"/>
        <v>53.153117689484077</v>
      </c>
      <c r="H28" s="2"/>
      <c r="I28" s="2"/>
      <c r="J28" s="3">
        <v>2013</v>
      </c>
      <c r="K28" s="22">
        <v>9.6287402542137102</v>
      </c>
      <c r="L28" s="22">
        <v>1.17816299027291</v>
      </c>
      <c r="M28" s="12">
        <f t="shared" si="1"/>
        <v>10.80690324448662</v>
      </c>
      <c r="N28" s="50">
        <f t="shared" si="5"/>
        <v>10.80690324448662</v>
      </c>
      <c r="O28" s="18">
        <v>7190.1849000000011</v>
      </c>
      <c r="P28" s="12">
        <f t="shared" si="2"/>
        <v>5.5110282207695285</v>
      </c>
      <c r="Q28" s="12">
        <f t="shared" si="6"/>
        <v>5.5110282207695285</v>
      </c>
      <c r="R28" s="12"/>
      <c r="S28" s="57"/>
      <c r="T28" s="55" t="s">
        <v>1</v>
      </c>
      <c r="U28" s="56">
        <f t="shared" si="9"/>
        <v>2045.9827826350383</v>
      </c>
      <c r="V28">
        <v>2051.5112818233497</v>
      </c>
      <c r="W28">
        <v>2050.5241343603225</v>
      </c>
      <c r="X28">
        <v>2049.5979625813079</v>
      </c>
      <c r="Y28">
        <v>2048.7272877729974</v>
      </c>
      <c r="Z28">
        <v>2047.9072668989149</v>
      </c>
      <c r="AA28">
        <v>2047.1336045082196</v>
      </c>
      <c r="AB28">
        <v>2046.402477471132</v>
      </c>
      <c r="AC28">
        <v>2045.7104717961943</v>
      </c>
      <c r="AD28">
        <v>2045.0545293256546</v>
      </c>
      <c r="AE28">
        <v>2044.4319025529662</v>
      </c>
      <c r="AF28">
        <v>2043.8401161543202</v>
      </c>
      <c r="AG28">
        <v>2043.276934098363</v>
      </c>
      <c r="AH28">
        <v>2042.7403314126871</v>
      </c>
      <c r="AI28">
        <v>2042.2284698556034</v>
      </c>
      <c r="AJ28">
        <v>2041.7396768771912</v>
      </c>
      <c r="AK28">
        <v>2041.2724273622082</v>
      </c>
      <c r="AL28">
        <v>2040.8253277349861</v>
      </c>
      <c r="AM28">
        <v>2040.3971020773236</v>
      </c>
      <c r="AN28">
        <v>2039.9865799681054</v>
      </c>
      <c r="AO28">
        <v>2039.5926858005696</v>
      </c>
      <c r="AP28">
        <v>2039.2144293718979</v>
      </c>
      <c r="AS28">
        <v>1990</v>
      </c>
      <c r="AT28">
        <v>438.58709468658026</v>
      </c>
      <c r="AU28">
        <v>397.88395481402222</v>
      </c>
      <c r="AV28">
        <v>357.180733535022</v>
      </c>
      <c r="AW28">
        <v>316.47751225602224</v>
      </c>
      <c r="AX28">
        <v>275.77429097702179</v>
      </c>
      <c r="AY28">
        <v>235.07106969802135</v>
      </c>
      <c r="AZ28">
        <v>194.36784841902136</v>
      </c>
      <c r="BA28">
        <v>153.66462714002114</v>
      </c>
      <c r="BB28">
        <v>112.96140586102092</v>
      </c>
      <c r="BC28">
        <v>72.258184582020704</v>
      </c>
      <c r="BD28">
        <v>31.554963303020941</v>
      </c>
      <c r="BE28">
        <v>-9.1482579759785949</v>
      </c>
      <c r="BF28">
        <v>-49.851479254979495</v>
      </c>
      <c r="BG28">
        <v>-90.55470053397994</v>
      </c>
      <c r="BH28">
        <v>-131.25792181298038</v>
      </c>
      <c r="BI28">
        <v>-171.96114309198038</v>
      </c>
      <c r="BJ28">
        <v>-212.66436437097991</v>
      </c>
      <c r="BK28">
        <v>-253.36758564998081</v>
      </c>
      <c r="BL28">
        <v>-294.07080692898126</v>
      </c>
      <c r="BM28">
        <v>-334.77402820798079</v>
      </c>
      <c r="BN28">
        <v>-375.47724948698169</v>
      </c>
    </row>
    <row r="29" spans="1:66" ht="16">
      <c r="A29" s="3">
        <v>2014</v>
      </c>
      <c r="B29" s="21">
        <f>$C$2*'Historical responsibility C'!B29+(1-$C$2)*'Historical responsibility T'!B60</f>
        <v>14.425648912005718</v>
      </c>
      <c r="C29" s="13">
        <f t="shared" si="3"/>
        <v>52.894046010687639</v>
      </c>
      <c r="D29" s="24">
        <v>9747355</v>
      </c>
      <c r="E29" s="13">
        <f t="shared" si="4"/>
        <v>5.4265024727926336</v>
      </c>
      <c r="F29" s="13">
        <f t="shared" si="0"/>
        <v>53.760547220090636</v>
      </c>
      <c r="G29" s="13">
        <f t="shared" si="7"/>
        <v>53.760547220090636</v>
      </c>
      <c r="H29" s="2"/>
      <c r="I29" s="2"/>
      <c r="J29" s="3">
        <v>2014</v>
      </c>
      <c r="K29" s="22">
        <v>9.6974869552887206</v>
      </c>
      <c r="L29" s="22">
        <v>1.2455498912469201</v>
      </c>
      <c r="M29" s="12">
        <f t="shared" si="1"/>
        <v>10.943036846535641</v>
      </c>
      <c r="N29" s="50">
        <f t="shared" si="5"/>
        <v>10.943036846535641</v>
      </c>
      <c r="O29" s="18">
        <v>7274.9899000000014</v>
      </c>
      <c r="P29" s="12">
        <f t="shared" si="2"/>
        <v>5.5153985076044361</v>
      </c>
      <c r="Q29" s="12">
        <f t="shared" si="6"/>
        <v>5.5153985076044361</v>
      </c>
      <c r="R29" s="12"/>
      <c r="S29" s="57"/>
      <c r="T29" s="55" t="s">
        <v>2</v>
      </c>
      <c r="U29" s="56">
        <f t="shared" si="9"/>
        <v>2027.6071332300846</v>
      </c>
      <c r="V29">
        <v>2029.4771778401305</v>
      </c>
      <c r="W29">
        <v>2029.1432698970025</v>
      </c>
      <c r="X29">
        <v>2028.8299873072201</v>
      </c>
      <c r="Y29">
        <v>2028.5354768665159</v>
      </c>
      <c r="Z29">
        <v>2028.2581003917312</v>
      </c>
      <c r="AA29">
        <v>2027.9964049234975</v>
      </c>
      <c r="AB29">
        <v>2027.7490972675869</v>
      </c>
      <c r="AC29">
        <v>2027.5150226230116</v>
      </c>
      <c r="AD29">
        <v>2027.2931465514503</v>
      </c>
      <c r="AE29">
        <v>2027.0825396940236</v>
      </c>
      <c r="AF29">
        <v>2026.8823647591287</v>
      </c>
      <c r="AG29">
        <v>2026.6918653971238</v>
      </c>
      <c r="AH29">
        <v>2026.5103566501919</v>
      </c>
      <c r="AI29">
        <v>2026.3372167231864</v>
      </c>
      <c r="AJ29">
        <v>2026.1718798670934</v>
      </c>
      <c r="AK29">
        <v>2026.0138302034725</v>
      </c>
      <c r="AL29">
        <v>2025.8625963478526</v>
      </c>
      <c r="AM29">
        <v>2025.7177467140336</v>
      </c>
      <c r="AN29">
        <v>2025.5788854007733</v>
      </c>
      <c r="AO29">
        <v>2025.4456485782941</v>
      </c>
      <c r="AP29">
        <v>2025.3177013051629</v>
      </c>
      <c r="AS29">
        <v>2000</v>
      </c>
      <c r="AT29">
        <v>617.17891115449652</v>
      </c>
      <c r="AU29">
        <v>589.62081023903761</v>
      </c>
      <c r="AV29">
        <v>562.06265420726641</v>
      </c>
      <c r="AW29">
        <v>534.5044981754952</v>
      </c>
      <c r="AX29">
        <v>506.94634214372445</v>
      </c>
      <c r="AY29">
        <v>479.38818611195347</v>
      </c>
      <c r="AZ29">
        <v>451.83003008018204</v>
      </c>
      <c r="BA29">
        <v>424.27187404841106</v>
      </c>
      <c r="BB29">
        <v>396.71371801663986</v>
      </c>
      <c r="BC29">
        <v>369.15556198486956</v>
      </c>
      <c r="BD29">
        <v>341.59740595309813</v>
      </c>
      <c r="BE29">
        <v>314.03924992132715</v>
      </c>
      <c r="BF29">
        <v>286.48109388955618</v>
      </c>
      <c r="BG29">
        <v>258.9229378577852</v>
      </c>
      <c r="BH29">
        <v>231.36478182601354</v>
      </c>
      <c r="BI29">
        <v>203.80662579424279</v>
      </c>
      <c r="BJ29">
        <v>176.24846976247227</v>
      </c>
      <c r="BK29">
        <v>148.69031373070084</v>
      </c>
      <c r="BL29">
        <v>121.13215769892963</v>
      </c>
      <c r="BM29">
        <v>93.574001667158427</v>
      </c>
      <c r="BN29">
        <v>66.015845635387905</v>
      </c>
    </row>
    <row r="30" spans="1:66" ht="16">
      <c r="A30" s="3">
        <v>2015</v>
      </c>
      <c r="B30" s="21">
        <f>$C$2*'Historical responsibility C'!B30+(1-$C$2)*'Historical responsibility T'!B61</f>
        <v>14.340349851373386</v>
      </c>
      <c r="C30" s="13">
        <f t="shared" si="3"/>
        <v>52.581282788369087</v>
      </c>
      <c r="D30" s="24">
        <v>9851017</v>
      </c>
      <c r="E30" s="13">
        <f t="shared" si="4"/>
        <v>5.3376501927028537</v>
      </c>
      <c r="F30" s="13">
        <f t="shared" si="0"/>
        <v>53.927627960266754</v>
      </c>
      <c r="G30" s="13">
        <f t="shared" si="7"/>
        <v>53.927627960266754</v>
      </c>
      <c r="H30" s="2"/>
      <c r="I30" s="2"/>
      <c r="J30" s="3">
        <v>2015</v>
      </c>
      <c r="K30" s="22">
        <v>9.6871373635491196</v>
      </c>
      <c r="L30" s="22">
        <v>1.3010114068515399</v>
      </c>
      <c r="M30" s="12">
        <f t="shared" si="1"/>
        <v>10.98814877040066</v>
      </c>
      <c r="N30" s="50">
        <f t="shared" si="5"/>
        <v>10.98814877040066</v>
      </c>
      <c r="O30" s="18">
        <v>7359.7948999999999</v>
      </c>
      <c r="P30" s="12">
        <f t="shared" si="2"/>
        <v>5.4743208706539388</v>
      </c>
      <c r="Q30" s="12">
        <f t="shared" si="6"/>
        <v>5.4743208706539388</v>
      </c>
      <c r="R30" s="12"/>
      <c r="S30" s="12"/>
      <c r="T30">
        <v>1990</v>
      </c>
      <c r="U30" s="4">
        <f>E85</f>
        <v>-483.10919650172576</v>
      </c>
      <c r="V30">
        <v>-530127822.68637127</v>
      </c>
      <c r="W30">
        <v>-1382.7194999085452</v>
      </c>
      <c r="X30">
        <v>-852.59199968667019</v>
      </c>
      <c r="Y30">
        <v>-675.88283294604184</v>
      </c>
      <c r="Z30">
        <v>-587.52824957573125</v>
      </c>
      <c r="AA30">
        <v>-534.51549955354449</v>
      </c>
      <c r="AB30">
        <v>-499.17366620541867</v>
      </c>
      <c r="AC30">
        <v>-473.92949952818674</v>
      </c>
      <c r="AD30">
        <v>-454.99637452026263</v>
      </c>
      <c r="AE30">
        <v>-440.27061062521068</v>
      </c>
      <c r="AF30">
        <v>-428.48999950916811</v>
      </c>
      <c r="AG30">
        <v>-418.85131768695101</v>
      </c>
      <c r="AH30">
        <v>-410.81908283510586</v>
      </c>
      <c r="AI30">
        <v>-404.02257642200522</v>
      </c>
      <c r="AJ30">
        <v>-398.19699949649055</v>
      </c>
      <c r="AK30">
        <v>-393.14816616104389</v>
      </c>
      <c r="AL30">
        <v>-388.7304369925273</v>
      </c>
      <c r="AM30">
        <v>-384.83244066736745</v>
      </c>
      <c r="AN30">
        <v>-381.36755504500246</v>
      </c>
      <c r="AO30">
        <v>-378.26739422499088</v>
      </c>
      <c r="AP30">
        <v>-375.47724948698169</v>
      </c>
      <c r="AS30">
        <v>2010</v>
      </c>
      <c r="AT30">
        <v>716.01129158459003</v>
      </c>
      <c r="AU30">
        <v>703.05386224682388</v>
      </c>
      <c r="AV30">
        <v>690.09640699414729</v>
      </c>
      <c r="AW30">
        <v>677.13895174147069</v>
      </c>
      <c r="AX30">
        <v>664.18149648879421</v>
      </c>
      <c r="AY30">
        <v>651.22404123611773</v>
      </c>
      <c r="AZ30">
        <v>638.26658598344102</v>
      </c>
      <c r="BA30">
        <v>625.30913073076454</v>
      </c>
      <c r="BB30">
        <v>612.35167547808794</v>
      </c>
      <c r="BC30">
        <v>599.39422022541135</v>
      </c>
      <c r="BD30">
        <v>586.43676497273486</v>
      </c>
      <c r="BE30">
        <v>573.47930972005815</v>
      </c>
      <c r="BF30">
        <v>560.52185446738167</v>
      </c>
      <c r="BG30">
        <v>547.56439921470496</v>
      </c>
      <c r="BH30">
        <v>534.60694396202848</v>
      </c>
      <c r="BI30">
        <v>521.64948870935177</v>
      </c>
      <c r="BJ30">
        <v>508.69203345667529</v>
      </c>
      <c r="BK30">
        <v>495.73457820399881</v>
      </c>
      <c r="BL30">
        <v>482.77712295132233</v>
      </c>
      <c r="BM30">
        <v>469.8196676986455</v>
      </c>
      <c r="BN30">
        <v>456.86221244596902</v>
      </c>
    </row>
    <row r="31" spans="1:66" ht="16">
      <c r="A31" s="3">
        <v>2016</v>
      </c>
      <c r="B31" s="21">
        <f>$C$2*'Historical responsibility C'!B31+(1-$C$2)*'Historical responsibility T'!B62</f>
        <v>14.210068527640665</v>
      </c>
      <c r="C31" s="13">
        <f>B31*44/12</f>
        <v>52.103584601349105</v>
      </c>
      <c r="D31" s="24">
        <v>9995153</v>
      </c>
      <c r="E31" s="13">
        <f t="shared" si="4"/>
        <v>5.2128851455649663</v>
      </c>
      <c r="F31" s="13">
        <f t="shared" si="0"/>
        <v>52.704121035903469</v>
      </c>
      <c r="G31" s="13">
        <f t="shared" si="7"/>
        <v>52.704121035903469</v>
      </c>
      <c r="H31" s="2"/>
      <c r="I31" s="2"/>
      <c r="J31" s="3">
        <v>2016</v>
      </c>
      <c r="K31" s="22">
        <v>9.6752124688166905</v>
      </c>
      <c r="L31" s="22">
        <v>1.0108009060693499</v>
      </c>
      <c r="M31" s="12">
        <f t="shared" si="1"/>
        <v>10.686013374886041</v>
      </c>
      <c r="N31" s="50">
        <f t="shared" si="5"/>
        <v>10.686013374886041</v>
      </c>
      <c r="O31" s="18">
        <v>7430.7391399999997</v>
      </c>
      <c r="P31" s="12">
        <f t="shared" si="2"/>
        <v>5.2729679111368748</v>
      </c>
      <c r="Q31" s="12">
        <f t="shared" si="6"/>
        <v>5.2729679111368748</v>
      </c>
      <c r="R31" s="12"/>
      <c r="S31" s="12"/>
      <c r="T31">
        <v>2000</v>
      </c>
      <c r="U31" s="4">
        <f t="shared" ref="U31:U34" si="10">E86</f>
        <v>320.97935140584553</v>
      </c>
      <c r="V31">
        <v>1255790341.9927914</v>
      </c>
      <c r="W31">
        <v>2452.0176085917624</v>
      </c>
      <c r="X31">
        <v>1196.2272070357737</v>
      </c>
      <c r="Y31">
        <v>777.6304065171114</v>
      </c>
      <c r="Z31">
        <v>568.33200625778204</v>
      </c>
      <c r="AA31">
        <v>442.75296610218402</v>
      </c>
      <c r="AB31">
        <v>359.0336059984503</v>
      </c>
      <c r="AC31">
        <v>299.23406306721307</v>
      </c>
      <c r="AD31">
        <v>254.38440586878471</v>
      </c>
      <c r="AE31">
        <v>219.50133915889788</v>
      </c>
      <c r="AF31">
        <v>191.59488579098627</v>
      </c>
      <c r="AG31">
        <v>168.76233303542304</v>
      </c>
      <c r="AH31">
        <v>149.73520573912026</v>
      </c>
      <c r="AI31">
        <v>133.63532879609497</v>
      </c>
      <c r="AJ31">
        <v>119.83543427350075</v>
      </c>
      <c r="AK31">
        <v>107.87552568725373</v>
      </c>
      <c r="AL31">
        <v>97.410605674287851</v>
      </c>
      <c r="AM31">
        <v>88.176852721669803</v>
      </c>
      <c r="AN31">
        <v>79.969072319342928</v>
      </c>
      <c r="AO31">
        <v>72.625268801471492</v>
      </c>
      <c r="AP31">
        <v>66.015845635387905</v>
      </c>
    </row>
    <row r="32" spans="1:66" ht="16">
      <c r="A32" s="3">
        <v>2017</v>
      </c>
      <c r="B32" s="21">
        <f>$C$2*'Historical responsibility C'!B32+(1-$C$2)*'Historical responsibility T'!B63</f>
        <v>14.142595699911006</v>
      </c>
      <c r="C32" s="13">
        <f t="shared" si="3"/>
        <v>51.856184233007021</v>
      </c>
      <c r="D32" s="24">
        <v>10120242</v>
      </c>
      <c r="E32" s="13">
        <f t="shared" si="4"/>
        <v>5.1240063461928109</v>
      </c>
      <c r="F32" s="13">
        <f t="shared" si="0"/>
        <v>53.442816111045786</v>
      </c>
      <c r="G32" s="13">
        <f t="shared" si="7"/>
        <v>53.442816111045786</v>
      </c>
      <c r="H32" s="2"/>
      <c r="I32" s="2"/>
      <c r="J32" s="3">
        <v>2017</v>
      </c>
      <c r="K32" s="22">
        <v>9.8043347520298791</v>
      </c>
      <c r="L32" s="22">
        <v>0.999694136552438</v>
      </c>
      <c r="M32" s="12">
        <f t="shared" si="1"/>
        <v>10.804028888582318</v>
      </c>
      <c r="N32" s="50">
        <f t="shared" si="5"/>
        <v>10.804028888582318</v>
      </c>
      <c r="O32" s="18">
        <v>7501.6833799999995</v>
      </c>
      <c r="P32" s="12">
        <f t="shared" si="2"/>
        <v>5.2807844032826274</v>
      </c>
      <c r="Q32" s="12">
        <f t="shared" si="6"/>
        <v>5.2807844032826274</v>
      </c>
      <c r="R32" s="12"/>
      <c r="S32" s="12"/>
      <c r="T32">
        <v>2010</v>
      </c>
      <c r="U32" s="4">
        <f t="shared" si="10"/>
        <v>912.48534040801314</v>
      </c>
      <c r="V32">
        <v>2244114146.2937264</v>
      </c>
      <c r="W32">
        <v>4720.6786487474874</v>
      </c>
      <c r="X32">
        <v>2476.5647349045826</v>
      </c>
      <c r="Y32">
        <v>1728.5267636236147</v>
      </c>
      <c r="Z32">
        <v>1354.5077779831308</v>
      </c>
      <c r="AA32">
        <v>1130.096386598841</v>
      </c>
      <c r="AB32">
        <v>980.48879234264689</v>
      </c>
      <c r="AC32">
        <v>873.62622501679448</v>
      </c>
      <c r="AD32">
        <v>793.47929952240486</v>
      </c>
      <c r="AE32">
        <v>731.1428019156574</v>
      </c>
      <c r="AF32">
        <v>681.27360383025973</v>
      </c>
      <c r="AG32">
        <v>640.4715326694793</v>
      </c>
      <c r="AH32">
        <v>606.46980670216283</v>
      </c>
      <c r="AI32">
        <v>577.6991154990485</v>
      </c>
      <c r="AJ32">
        <v>553.03852303923645</v>
      </c>
      <c r="AK32">
        <v>531.6660095740657</v>
      </c>
      <c r="AL32">
        <v>512.96506029204158</v>
      </c>
      <c r="AM32">
        <v>496.46422269025567</v>
      </c>
      <c r="AN32">
        <v>481.79681148866814</v>
      </c>
      <c r="AO32">
        <v>468.6733383083</v>
      </c>
      <c r="AP32">
        <v>456.86221244596902</v>
      </c>
    </row>
    <row r="33" spans="1:42" ht="16">
      <c r="A33" s="3">
        <v>2018</v>
      </c>
      <c r="B33" s="21">
        <f>$C$2*'Historical responsibility C'!B33+(1-$C$2)*'Historical responsibility T'!B64</f>
        <v>14.097095043326412</v>
      </c>
      <c r="C33" s="13">
        <f t="shared" si="3"/>
        <v>51.689348492196842</v>
      </c>
      <c r="D33" s="24">
        <v>10230185</v>
      </c>
      <c r="E33" s="13">
        <f t="shared" si="4"/>
        <v>5.0526308656389736</v>
      </c>
      <c r="F33" s="13">
        <f t="shared" si="0"/>
        <v>54.753696256757451</v>
      </c>
      <c r="G33" s="13">
        <f t="shared" si="7"/>
        <v>54.753696256757451</v>
      </c>
      <c r="H33" s="2"/>
      <c r="I33" s="2"/>
      <c r="J33" s="3">
        <v>2018</v>
      </c>
      <c r="K33" s="22">
        <v>10.0008134526483</v>
      </c>
      <c r="L33" s="22">
        <v>1.0528216985603001</v>
      </c>
      <c r="M33" s="12">
        <f t="shared" si="1"/>
        <v>11.053635151208599</v>
      </c>
      <c r="N33" s="50">
        <f t="shared" si="5"/>
        <v>11.053635151208599</v>
      </c>
      <c r="O33" s="18">
        <v>7572.6276199999993</v>
      </c>
      <c r="P33" s="12">
        <f t="shared" si="2"/>
        <v>5.3521706847684039</v>
      </c>
      <c r="Q33" s="12">
        <f t="shared" si="6"/>
        <v>5.3521706847684039</v>
      </c>
      <c r="R33" s="12"/>
      <c r="S33" s="12"/>
      <c r="T33" s="55" t="s">
        <v>1</v>
      </c>
      <c r="U33" s="4">
        <f t="shared" si="10"/>
        <v>1040.6306800482655</v>
      </c>
      <c r="V33">
        <v>1743394894.8376384</v>
      </c>
      <c r="W33">
        <v>3999.1181170320247</v>
      </c>
      <c r="X33">
        <v>2255.7237345237368</v>
      </c>
      <c r="Y33">
        <v>1674.5922736876416</v>
      </c>
      <c r="Z33">
        <v>1384.0265432695946</v>
      </c>
      <c r="AA33">
        <v>1209.687105018766</v>
      </c>
      <c r="AB33">
        <v>1093.4608128515467</v>
      </c>
      <c r="AC33">
        <v>1010.4420327321046</v>
      </c>
      <c r="AD33">
        <v>948.17794764252312</v>
      </c>
      <c r="AE33">
        <v>899.75032590618184</v>
      </c>
      <c r="AF33">
        <v>861.00822851710871</v>
      </c>
      <c r="AG33">
        <v>829.3101488351399</v>
      </c>
      <c r="AH33">
        <v>802.89508243349917</v>
      </c>
      <c r="AI33">
        <v>780.54387240134179</v>
      </c>
      <c r="AJ33">
        <v>761.38569237377806</v>
      </c>
      <c r="AK33">
        <v>744.78193634988963</v>
      </c>
      <c r="AL33">
        <v>730.25364982898714</v>
      </c>
      <c r="AM33">
        <v>717.43457348701475</v>
      </c>
      <c r="AN33">
        <v>706.03983896081661</v>
      </c>
      <c r="AO33">
        <v>695.8445501742184</v>
      </c>
      <c r="AP33">
        <v>686.6687902662801</v>
      </c>
    </row>
    <row r="34" spans="1:42" ht="16">
      <c r="A34" s="3">
        <v>2019</v>
      </c>
      <c r="B34" s="21">
        <f>$C$2*'Historical responsibility C'!B34+(1-$C$2)*'Historical responsibility T'!B65</f>
        <v>13.60018923608278</v>
      </c>
      <c r="C34" s="13">
        <f t="shared" si="3"/>
        <v>49.867360532303529</v>
      </c>
      <c r="D34" s="24">
        <v>10327553</v>
      </c>
      <c r="E34" s="13">
        <f t="shared" si="4"/>
        <v>4.8285746422510272</v>
      </c>
      <c r="F34" s="13">
        <f t="shared" si="0"/>
        <v>54.794294180322552</v>
      </c>
      <c r="G34" s="13">
        <f t="shared" si="7"/>
        <v>54.794294180322552</v>
      </c>
      <c r="H34" s="32"/>
      <c r="I34" s="2"/>
      <c r="J34" s="3">
        <v>2019</v>
      </c>
      <c r="K34" s="22">
        <v>10.016142967920899</v>
      </c>
      <c r="L34" s="22">
        <v>1.0440531295373501</v>
      </c>
      <c r="M34" s="12">
        <f t="shared" si="1"/>
        <v>11.060196097458249</v>
      </c>
      <c r="N34" s="50">
        <f t="shared" si="5"/>
        <v>11.060196097458249</v>
      </c>
      <c r="O34" s="18">
        <v>7643.5718599999991</v>
      </c>
      <c r="P34" s="12">
        <f t="shared" si="2"/>
        <v>5.3056415377701329</v>
      </c>
      <c r="Q34" s="12">
        <f t="shared" si="6"/>
        <v>5.3056415377701329</v>
      </c>
      <c r="R34" s="12"/>
      <c r="S34" s="12"/>
      <c r="T34" s="55" t="s">
        <v>2</v>
      </c>
      <c r="U34" s="4">
        <f t="shared" si="10"/>
        <v>-347.77103796997943</v>
      </c>
      <c r="V34">
        <v>-2769923689.8811998</v>
      </c>
      <c r="W34">
        <v>-5048.2484368470405</v>
      </c>
      <c r="X34">
        <v>-2278.3242553659156</v>
      </c>
      <c r="Y34">
        <v>-1355.0161948722073</v>
      </c>
      <c r="Z34">
        <v>-893.36216462535299</v>
      </c>
      <c r="AA34">
        <v>-616.36974647724014</v>
      </c>
      <c r="AB34">
        <v>-431.70813437849841</v>
      </c>
      <c r="AC34">
        <v>-299.80698287939731</v>
      </c>
      <c r="AD34">
        <v>-200.88111925507135</v>
      </c>
      <c r="AE34">
        <v>-123.93878088059573</v>
      </c>
      <c r="AF34">
        <v>-62.38491018101513</v>
      </c>
      <c r="AG34">
        <v>-12.022652335903723</v>
      </c>
      <c r="AH34">
        <v>29.945895868355688</v>
      </c>
      <c r="AI34">
        <v>65.457744348883011</v>
      </c>
      <c r="AJ34">
        <v>95.896471617906315</v>
      </c>
      <c r="AK34">
        <v>122.27670191772658</v>
      </c>
      <c r="AL34">
        <v>145.35940343006931</v>
      </c>
      <c r="AM34">
        <v>165.72649299978346</v>
      </c>
      <c r="AN34">
        <v>183.83057261730718</v>
      </c>
      <c r="AO34">
        <v>200.02895964351256</v>
      </c>
      <c r="AP34">
        <v>214.60750796709743</v>
      </c>
    </row>
    <row r="35" spans="1:42" ht="16">
      <c r="A35" s="3">
        <v>2020</v>
      </c>
      <c r="B35" s="47"/>
      <c r="C35" s="13"/>
      <c r="D35" s="24">
        <v>10379295</v>
      </c>
      <c r="E35" s="13"/>
      <c r="F35" s="13">
        <f t="shared" si="0"/>
        <v>51.187338639999517</v>
      </c>
      <c r="G35" s="13">
        <f t="shared" si="7"/>
        <v>51.187338639999517</v>
      </c>
      <c r="H35" s="2"/>
      <c r="I35" s="2"/>
      <c r="J35" s="3">
        <v>2020</v>
      </c>
      <c r="K35" s="22">
        <v>9.4999577782783593</v>
      </c>
      <c r="L35" s="22">
        <v>0.87608978182072705</v>
      </c>
      <c r="M35" s="12">
        <f>L35+K35</f>
        <v>10.376047560099087</v>
      </c>
      <c r="N35" s="50">
        <f t="shared" si="5"/>
        <v>10.376047560099087</v>
      </c>
      <c r="O35" s="18">
        <v>7714.5160999999998</v>
      </c>
      <c r="P35" s="12">
        <f t="shared" si="2"/>
        <v>4.9316777912179504</v>
      </c>
      <c r="Q35" s="12">
        <f t="shared" si="6"/>
        <v>4.9316777912179504</v>
      </c>
      <c r="R35" s="12"/>
      <c r="S35" s="12"/>
      <c r="T35">
        <v>1990</v>
      </c>
      <c r="U35" s="56">
        <f>K85</f>
        <v>1999.6242323096778</v>
      </c>
      <c r="V35">
        <v>-25878918.386113517</v>
      </c>
      <c r="W35">
        <v>1953.6467548489923</v>
      </c>
      <c r="X35">
        <v>1979.9474588538515</v>
      </c>
      <c r="Y35">
        <v>1988.9690603600866</v>
      </c>
      <c r="Z35">
        <v>1993.6542161125876</v>
      </c>
      <c r="AA35">
        <v>1996.5929653280982</v>
      </c>
      <c r="AB35">
        <v>1998.6497382574391</v>
      </c>
      <c r="AC35">
        <v>2000.1958097439267</v>
      </c>
      <c r="AD35">
        <v>2001.4174296136296</v>
      </c>
      <c r="AE35">
        <v>2002.4185452307856</v>
      </c>
      <c r="AF35">
        <v>2003.2618997640664</v>
      </c>
      <c r="AG35">
        <v>2003.9877201987269</v>
      </c>
      <c r="AH35">
        <v>2004.6230666856752</v>
      </c>
      <c r="AI35">
        <v>2005.1868709424514</v>
      </c>
      <c r="AJ35">
        <v>2005.692818574345</v>
      </c>
      <c r="AK35">
        <v>2006.1510810205068</v>
      </c>
      <c r="AL35">
        <v>2006.5694000528019</v>
      </c>
      <c r="AM35">
        <v>2006.9537911406942</v>
      </c>
      <c r="AN35">
        <v>2007.3090136781291</v>
      </c>
      <c r="AO35">
        <v>2007.6388937884915</v>
      </c>
      <c r="AP35">
        <v>2007.9465511639669</v>
      </c>
    </row>
    <row r="36" spans="1:42" ht="16">
      <c r="A36" s="3">
        <v>2021</v>
      </c>
      <c r="B36" s="13"/>
      <c r="C36" s="13"/>
      <c r="D36" s="24">
        <v>10428301</v>
      </c>
      <c r="E36" s="13"/>
      <c r="F36" s="13">
        <f t="shared" si="0"/>
        <v>54.514965440412375</v>
      </c>
      <c r="G36" s="13">
        <f t="shared" si="7"/>
        <v>51.93236838426585</v>
      </c>
      <c r="H36" s="2"/>
      <c r="I36" s="2"/>
      <c r="J36" s="3">
        <v>2021</v>
      </c>
      <c r="K36" s="3"/>
      <c r="L36" s="3"/>
      <c r="M36" s="18">
        <f>'IPCC IMPs'!F14/1000</f>
        <v>11.092522600000001</v>
      </c>
      <c r="N36" s="18">
        <f>'IPCC IMPs'!G14/1000</f>
        <v>10.567024400000001</v>
      </c>
      <c r="O36" s="18">
        <v>7780.3577999999998</v>
      </c>
      <c r="P36" s="12">
        <f t="shared" si="2"/>
        <v>5.2275979989849137</v>
      </c>
      <c r="Q36" s="12">
        <f t="shared" si="6"/>
        <v>4.9799452839216904</v>
      </c>
      <c r="R36" s="12"/>
      <c r="S36" s="12"/>
      <c r="T36">
        <v>2000</v>
      </c>
      <c r="U36" s="56">
        <f>K86</f>
        <v>2031.8733242738172</v>
      </c>
      <c r="V36">
        <v>61309933.4695815</v>
      </c>
      <c r="W36">
        <v>2134.8928531054084</v>
      </c>
      <c r="X36">
        <v>2073.7925763320263</v>
      </c>
      <c r="Y36">
        <v>2053.5518049311677</v>
      </c>
      <c r="Z36">
        <v>2043.517663988602</v>
      </c>
      <c r="AA36">
        <v>2037.5603243887695</v>
      </c>
      <c r="AB36">
        <v>2033.6370458842218</v>
      </c>
      <c r="AC36">
        <v>2030.8727664317487</v>
      </c>
      <c r="AD36">
        <v>2028.8302579357887</v>
      </c>
      <c r="AE36">
        <v>2027.2668509757596</v>
      </c>
      <c r="AF36">
        <v>2026.0371292695859</v>
      </c>
      <c r="AG36">
        <v>2025.0487033380589</v>
      </c>
      <c r="AH36">
        <v>2024.2400999799274</v>
      </c>
      <c r="AI36">
        <v>2023.568858650563</v>
      </c>
      <c r="AJ36">
        <v>2023.00473099274</v>
      </c>
      <c r="AK36">
        <v>2022.5256018181653</v>
      </c>
      <c r="AL36">
        <v>2022.1149407263281</v>
      </c>
      <c r="AM36">
        <v>2021.760153958433</v>
      </c>
      <c r="AN36">
        <v>2021.4514862847936</v>
      </c>
      <c r="AO36">
        <v>2021.1812701942852</v>
      </c>
      <c r="AP36">
        <v>2020.9434007602197</v>
      </c>
    </row>
    <row r="37" spans="1:42" ht="16">
      <c r="A37" s="3">
        <v>2022</v>
      </c>
      <c r="D37" s="24">
        <v>10477130</v>
      </c>
      <c r="E37" s="13"/>
      <c r="F37" s="13">
        <f t="shared" si="0"/>
        <v>51.357696401257797</v>
      </c>
      <c r="G37" s="13">
        <f t="shared" si="7"/>
        <v>51.18017730207832</v>
      </c>
      <c r="H37" s="2"/>
      <c r="I37" s="2"/>
      <c r="J37" s="3">
        <v>2022</v>
      </c>
      <c r="K37" s="3"/>
      <c r="L37" s="3"/>
      <c r="M37" s="18">
        <f>'IPCC IMPs'!F15/1000</f>
        <v>10.489411400000002</v>
      </c>
      <c r="N37" s="18">
        <f>'IPCC IMPs'!G15/1000</f>
        <v>10.4531545</v>
      </c>
      <c r="O37" s="18">
        <v>7846.1994999999997</v>
      </c>
      <c r="P37" s="12">
        <f t="shared" si="2"/>
        <v>4.9018859555295959</v>
      </c>
      <c r="Q37" s="12">
        <f t="shared" si="6"/>
        <v>4.884942470130496</v>
      </c>
      <c r="R37" s="12"/>
      <c r="S37" s="12"/>
      <c r="T37">
        <v>2010</v>
      </c>
      <c r="U37" s="56">
        <f>K87</f>
        <v>2055.5964964123946</v>
      </c>
      <c r="V37">
        <v>109560082.58777</v>
      </c>
      <c r="W37">
        <v>2242.1194895502144</v>
      </c>
      <c r="X37">
        <v>2132.4377829565665</v>
      </c>
      <c r="Y37">
        <v>2095.8021917025071</v>
      </c>
      <c r="Z37">
        <v>2077.4330394995832</v>
      </c>
      <c r="AA37">
        <v>2066.3739469449652</v>
      </c>
      <c r="AB37">
        <v>2058.9724683224958</v>
      </c>
      <c r="AC37">
        <v>2053.6630327174516</v>
      </c>
      <c r="AD37">
        <v>2049.6626742876592</v>
      </c>
      <c r="AE37">
        <v>2046.5362720272997</v>
      </c>
      <c r="AF37">
        <v>2044.0226429495631</v>
      </c>
      <c r="AG37">
        <v>2041.9554914767405</v>
      </c>
      <c r="AH37">
        <v>2040.2238825614829</v>
      </c>
      <c r="AI37">
        <v>2038.7509567645673</v>
      </c>
      <c r="AJ37">
        <v>2037.4817664893637</v>
      </c>
      <c r="AK37">
        <v>2036.3759769703959</v>
      </c>
      <c r="AL37">
        <v>2035.4033037925024</v>
      </c>
      <c r="AM37">
        <v>2034.5405602171386</v>
      </c>
      <c r="AN37">
        <v>2033.7696883453298</v>
      </c>
      <c r="AO37">
        <v>2033.0764117032402</v>
      </c>
      <c r="AP37">
        <v>2032.4492917940786</v>
      </c>
    </row>
    <row r="38" spans="1:42" ht="16">
      <c r="A38" s="3">
        <v>2023</v>
      </c>
      <c r="D38" s="24">
        <v>10523969</v>
      </c>
      <c r="E38" s="13"/>
      <c r="F38" s="13">
        <f t="shared" si="0"/>
        <v>48.216562369383482</v>
      </c>
      <c r="G38" s="13">
        <f t="shared" si="7"/>
        <v>50.425817142050832</v>
      </c>
      <c r="H38" s="2"/>
      <c r="I38" s="2"/>
      <c r="J38" s="3">
        <v>2023</v>
      </c>
      <c r="K38" s="3"/>
      <c r="L38" s="3"/>
      <c r="M38" s="18">
        <f>'IPCC IMPs'!F16/1000</f>
        <v>9.88630019</v>
      </c>
      <c r="N38" s="18">
        <f>'IPCC IMPs'!G16/1000</f>
        <v>10.3392847</v>
      </c>
      <c r="O38" s="18">
        <v>7912.0411999999997</v>
      </c>
      <c r="P38" s="12">
        <f t="shared" si="2"/>
        <v>4.5815948687594465</v>
      </c>
      <c r="Q38" s="12">
        <f t="shared" si="6"/>
        <v>4.7915208741161086</v>
      </c>
      <c r="R38" s="12"/>
      <c r="S38" s="12"/>
      <c r="T38" s="55" t="s">
        <v>1</v>
      </c>
      <c r="U38" s="56">
        <f>K88</f>
        <v>2060.7359438695039</v>
      </c>
      <c r="V38">
        <v>85114877.034724802</v>
      </c>
      <c r="W38">
        <v>2208.0154486918832</v>
      </c>
      <c r="X38">
        <v>2122.3222737126384</v>
      </c>
      <c r="Y38">
        <v>2093.4057653800382</v>
      </c>
      <c r="Z38">
        <v>2078.706469749302</v>
      </c>
      <c r="AA38">
        <v>2069.7104114416661</v>
      </c>
      <c r="AB38">
        <v>2063.5781002750355</v>
      </c>
      <c r="AC38">
        <v>2059.0914993583301</v>
      </c>
      <c r="AD38">
        <v>2055.6407436120935</v>
      </c>
      <c r="AE38">
        <v>2052.8863620976499</v>
      </c>
      <c r="AF38">
        <v>2050.624154169031</v>
      </c>
      <c r="AG38">
        <v>2048.7237598895499</v>
      </c>
      <c r="AH38">
        <v>2047.0979378535317</v>
      </c>
      <c r="AI38">
        <v>2045.6860167568875</v>
      </c>
      <c r="AJ38">
        <v>2044.444434679637</v>
      </c>
      <c r="AK38">
        <v>2043.3410591253523</v>
      </c>
      <c r="AL38">
        <v>2042.3516342358853</v>
      </c>
      <c r="AM38">
        <v>2041.457479676412</v>
      </c>
      <c r="AN38">
        <v>2040.6439547381342</v>
      </c>
      <c r="AO38">
        <v>2039.8994059808563</v>
      </c>
      <c r="AP38">
        <v>2039.2144293718979</v>
      </c>
    </row>
    <row r="39" spans="1:42" ht="16">
      <c r="A39" s="3">
        <v>2024</v>
      </c>
      <c r="D39" s="24">
        <v>10569942</v>
      </c>
      <c r="E39" s="13"/>
      <c r="F39" s="13">
        <f t="shared" si="0"/>
        <v>45.097614390489099</v>
      </c>
      <c r="G39" s="13">
        <f t="shared" si="7"/>
        <v>49.674935480328905</v>
      </c>
      <c r="H39" s="2"/>
      <c r="I39" s="2"/>
      <c r="J39" s="3">
        <v>2024</v>
      </c>
      <c r="K39" s="3"/>
      <c r="L39" s="3"/>
      <c r="M39" s="18">
        <f>'IPCC IMPs'!F17/1000</f>
        <v>9.2831889800000003</v>
      </c>
      <c r="N39" s="18">
        <f>'IPCC IMPs'!G17/1000</f>
        <v>10.225414800000001</v>
      </c>
      <c r="O39" s="18">
        <v>7977.8828999999996</v>
      </c>
      <c r="P39" s="12">
        <f t="shared" si="2"/>
        <v>4.2665905253301393</v>
      </c>
      <c r="Q39" s="12">
        <f t="shared" si="6"/>
        <v>4.6996412544485962</v>
      </c>
      <c r="R39" s="12"/>
      <c r="S39" s="12"/>
      <c r="T39" s="55" t="s">
        <v>2</v>
      </c>
      <c r="U39" s="56">
        <f>K89</f>
        <v>2005.0521577938862</v>
      </c>
      <c r="V39">
        <v>-135226162.79746678</v>
      </c>
      <c r="W39">
        <v>1780.3981594254819</v>
      </c>
      <c r="X39">
        <v>1914.6425209717615</v>
      </c>
      <c r="Y39">
        <v>1958.7936926701598</v>
      </c>
      <c r="Z39">
        <v>1980.4606372133831</v>
      </c>
      <c r="AA39">
        <v>1993.1616131027772</v>
      </c>
      <c r="AB39">
        <v>2001.4001662632186</v>
      </c>
      <c r="AC39">
        <v>2007.1045017206652</v>
      </c>
      <c r="AD39">
        <v>2011.2372866765822</v>
      </c>
      <c r="AE39">
        <v>2014.3322224111103</v>
      </c>
      <c r="AF39">
        <v>2016.7086513786478</v>
      </c>
      <c r="AG39">
        <v>2018.5690895236603</v>
      </c>
      <c r="AH39">
        <v>2020.0479799160398</v>
      </c>
      <c r="AI39">
        <v>2021.2379350147075</v>
      </c>
      <c r="AJ39">
        <v>2022.2047246652116</v>
      </c>
      <c r="AK39">
        <v>2022.9962629137051</v>
      </c>
      <c r="AL39">
        <v>2023.6482200019684</v>
      </c>
      <c r="AM39">
        <v>2024.1876498372476</v>
      </c>
      <c r="AN39">
        <v>2024.6354052188763</v>
      </c>
      <c r="AO39">
        <v>2025.0077878521452</v>
      </c>
      <c r="AP39">
        <v>2025.3177013051629</v>
      </c>
    </row>
    <row r="40" spans="1:42" ht="16">
      <c r="A40" s="3">
        <v>2025</v>
      </c>
      <c r="D40" s="24">
        <v>10616595</v>
      </c>
      <c r="E40" s="13"/>
      <c r="F40" s="13">
        <f t="shared" si="0"/>
        <v>42.007138981805319</v>
      </c>
      <c r="G40" s="13">
        <f t="shared" si="7"/>
        <v>48.934708637423398</v>
      </c>
      <c r="H40" s="2"/>
      <c r="I40" s="2"/>
      <c r="J40" s="3">
        <v>2025</v>
      </c>
      <c r="K40" s="3"/>
      <c r="L40" s="3"/>
      <c r="M40" s="18">
        <f>'IPCC IMPs'!F18/1000</f>
        <v>8.6800777599999996</v>
      </c>
      <c r="N40" s="18">
        <f>'IPCC IMPs'!G18/1000</f>
        <v>10.111545</v>
      </c>
      <c r="O40" s="18">
        <v>8043.7245999999996</v>
      </c>
      <c r="P40" s="12">
        <f t="shared" si="2"/>
        <v>3.956743097179964</v>
      </c>
      <c r="Q40" s="12">
        <f t="shared" si="6"/>
        <v>4.6092658368736297</v>
      </c>
      <c r="R40" s="12"/>
      <c r="S40" s="12"/>
    </row>
    <row r="41" spans="1:42" ht="16">
      <c r="A41" s="3">
        <v>2026</v>
      </c>
      <c r="D41" s="24">
        <v>10663635</v>
      </c>
      <c r="E41" s="13"/>
      <c r="F41" s="13">
        <f t="shared" si="0"/>
        <v>38.815428270694035</v>
      </c>
      <c r="G41" s="13">
        <f t="shared" si="7"/>
        <v>47.980324416891307</v>
      </c>
      <c r="H41" s="2"/>
      <c r="I41" s="2"/>
      <c r="J41" s="3">
        <v>2026</v>
      </c>
      <c r="K41" s="3"/>
      <c r="L41" s="3"/>
      <c r="M41" s="18">
        <f>'IPCC IMPs'!F19/1000</f>
        <v>8.04427454</v>
      </c>
      <c r="N41" s="18">
        <f>'IPCC IMPs'!G19/1000</f>
        <v>9.9436466199999991</v>
      </c>
      <c r="O41" s="18">
        <v>8103.2493599999998</v>
      </c>
      <c r="P41" s="12">
        <f t="shared" si="2"/>
        <v>3.639980951213543</v>
      </c>
      <c r="Q41" s="12">
        <f t="shared" si="6"/>
        <v>4.4994342376582948</v>
      </c>
      <c r="R41" s="12"/>
      <c r="S41" s="12"/>
    </row>
    <row r="42" spans="1:42" ht="16">
      <c r="A42" s="3">
        <v>2027</v>
      </c>
      <c r="D42" s="24">
        <v>10710874</v>
      </c>
      <c r="E42" s="13"/>
      <c r="F42" s="13">
        <f t="shared" si="0"/>
        <v>35.644059989925353</v>
      </c>
      <c r="G42" s="13">
        <f t="shared" si="7"/>
        <v>47.033637943851694</v>
      </c>
      <c r="H42" s="2"/>
      <c r="I42" s="2"/>
      <c r="J42" s="3">
        <v>2027</v>
      </c>
      <c r="K42" s="3"/>
      <c r="L42" s="3"/>
      <c r="M42" s="18">
        <f>'IPCC IMPs'!F20/1000</f>
        <v>7.4084713199999994</v>
      </c>
      <c r="N42" s="18">
        <f>'IPCC IMPs'!G20/1000</f>
        <v>9.7757482699999994</v>
      </c>
      <c r="O42" s="18">
        <v>8162.77412</v>
      </c>
      <c r="P42" s="12">
        <f t="shared" si="2"/>
        <v>3.3278386049472108</v>
      </c>
      <c r="Q42" s="12">
        <f t="shared" si="6"/>
        <v>4.3912044846995393</v>
      </c>
      <c r="R42" s="12"/>
      <c r="S42" s="12"/>
    </row>
    <row r="43" spans="1:42" ht="16">
      <c r="A43" s="3">
        <v>2028</v>
      </c>
      <c r="D43" s="24">
        <v>10758403</v>
      </c>
      <c r="E43" s="13"/>
      <c r="F43" s="13">
        <f t="shared" si="0"/>
        <v>32.492697908166498</v>
      </c>
      <c r="G43" s="13">
        <f t="shared" si="7"/>
        <v>46.094827088538672</v>
      </c>
      <c r="H43" s="2"/>
      <c r="I43" s="2"/>
      <c r="J43" s="3">
        <v>2028</v>
      </c>
      <c r="K43" s="3"/>
      <c r="L43" s="3"/>
      <c r="M43" s="18">
        <f>'IPCC IMPs'!F21/1000</f>
        <v>6.7726680999999997</v>
      </c>
      <c r="N43" s="18">
        <f>'IPCC IMPs'!G21/1000</f>
        <v>9.6078499200000014</v>
      </c>
      <c r="O43" s="18">
        <v>8222.2988800000003</v>
      </c>
      <c r="P43" s="12">
        <f t="shared" si="2"/>
        <v>3.0202157242265883</v>
      </c>
      <c r="Q43" s="12">
        <f t="shared" si="6"/>
        <v>4.2845417752559252</v>
      </c>
      <c r="R43" s="12"/>
      <c r="S43" s="12"/>
    </row>
    <row r="44" spans="1:42" ht="16">
      <c r="A44" s="3">
        <v>2029</v>
      </c>
      <c r="D44" s="24">
        <v>10805992</v>
      </c>
      <c r="E44" s="13"/>
      <c r="F44" s="13">
        <f t="shared" si="0"/>
        <v>29.360040835240099</v>
      </c>
      <c r="G44" s="13">
        <f t="shared" si="7"/>
        <v>45.162696099297023</v>
      </c>
      <c r="H44" s="2"/>
      <c r="I44" s="2"/>
      <c r="J44" s="3">
        <v>2029</v>
      </c>
      <c r="K44" s="3"/>
      <c r="L44" s="3"/>
      <c r="M44" s="18">
        <f>'IPCC IMPs'!F22/1000</f>
        <v>6.1368648800000001</v>
      </c>
      <c r="N44" s="18">
        <f>'IPCC IMPs'!G22/1000</f>
        <v>9.4399515699999998</v>
      </c>
      <c r="O44" s="18">
        <v>8281.8236400000005</v>
      </c>
      <c r="P44" s="12">
        <f t="shared" si="2"/>
        <v>2.7170148594631662</v>
      </c>
      <c r="Q44" s="12">
        <f t="shared" si="6"/>
        <v>4.1794123204326841</v>
      </c>
      <c r="R44" s="12"/>
      <c r="S44" s="12"/>
    </row>
    <row r="45" spans="1:42" ht="16">
      <c r="A45" s="3">
        <v>2030</v>
      </c>
      <c r="D45" s="24">
        <v>10853866</v>
      </c>
      <c r="E45" s="13"/>
      <c r="F45" s="13">
        <f t="shared" si="0"/>
        <v>26.24618205513902</v>
      </c>
      <c r="G45" s="13">
        <f t="shared" si="7"/>
        <v>44.238005737866615</v>
      </c>
      <c r="H45" s="2"/>
      <c r="I45" s="2"/>
      <c r="J45" s="3">
        <v>2030</v>
      </c>
      <c r="K45" s="3"/>
      <c r="L45" s="3"/>
      <c r="M45" s="18">
        <f>'IPCC IMPs'!F23/1000</f>
        <v>5.5010616499999996</v>
      </c>
      <c r="N45" s="18">
        <f>'IPCC IMPs'!G23/1000</f>
        <v>9.2720532200000001</v>
      </c>
      <c r="O45" s="18">
        <v>8341.3484000000008</v>
      </c>
      <c r="P45" s="12">
        <f t="shared" si="2"/>
        <v>2.4181413383156767</v>
      </c>
      <c r="Q45" s="12">
        <f t="shared" si="6"/>
        <v>4.0757832958198135</v>
      </c>
      <c r="R45" s="12"/>
      <c r="S45" s="12"/>
    </row>
    <row r="46" spans="1:42" ht="16">
      <c r="A46" s="3">
        <v>2031</v>
      </c>
      <c r="D46" s="24">
        <v>10900734</v>
      </c>
      <c r="E46" s="13"/>
      <c r="F46" s="13">
        <f t="shared" si="0"/>
        <v>24.465090197300597</v>
      </c>
      <c r="G46" s="13">
        <f t="shared" si="7"/>
        <v>42.007258395612915</v>
      </c>
      <c r="H46" s="2"/>
      <c r="I46" s="2"/>
      <c r="J46" s="3">
        <v>2031</v>
      </c>
      <c r="K46" s="3"/>
      <c r="L46" s="3"/>
      <c r="M46" s="18">
        <f>'IPCC IMPs'!F24/1000</f>
        <v>5.1383004899999998</v>
      </c>
      <c r="N46" s="18">
        <f>'IPCC IMPs'!G24/1000</f>
        <v>8.8226086499999994</v>
      </c>
      <c r="O46" s="18">
        <v>8394.5969600000008</v>
      </c>
      <c r="P46" s="12">
        <f t="shared" si="2"/>
        <v>2.2443525543601557</v>
      </c>
      <c r="Q46" s="12">
        <f t="shared" si="6"/>
        <v>3.8536174165531345</v>
      </c>
      <c r="R46" s="12"/>
      <c r="S46" s="12"/>
    </row>
    <row r="47" spans="1:42" ht="16">
      <c r="A47" s="3">
        <v>2032</v>
      </c>
      <c r="D47" s="24">
        <v>10946282</v>
      </c>
      <c r="E47" s="13"/>
      <c r="F47" s="13">
        <f t="shared" si="0"/>
        <v>22.688956599468789</v>
      </c>
      <c r="G47" s="13">
        <f t="shared" si="7"/>
        <v>39.781550084324415</v>
      </c>
      <c r="H47" s="2"/>
      <c r="I47" s="2"/>
      <c r="J47" s="3">
        <v>2032</v>
      </c>
      <c r="K47" s="3"/>
      <c r="L47" s="3"/>
      <c r="M47" s="18">
        <f>'IPCC IMPs'!F25/1000</f>
        <v>4.77553932</v>
      </c>
      <c r="N47" s="18">
        <f>'IPCC IMPs'!G25/1000</f>
        <v>8.3731640899999995</v>
      </c>
      <c r="O47" s="18">
        <v>8447.8455200000008</v>
      </c>
      <c r="P47" s="12">
        <f t="shared" si="2"/>
        <v>2.072754621109596</v>
      </c>
      <c r="Q47" s="12">
        <f t="shared" si="6"/>
        <v>3.6342522588331283</v>
      </c>
      <c r="R47" s="12"/>
      <c r="S47" s="12"/>
    </row>
    <row r="48" spans="1:42" ht="16">
      <c r="A48" s="3">
        <v>2033</v>
      </c>
      <c r="D48" s="24">
        <v>10991015</v>
      </c>
      <c r="E48" s="13"/>
      <c r="F48" s="13">
        <f t="shared" si="0"/>
        <v>20.919268908249538</v>
      </c>
      <c r="G48" s="13">
        <f t="shared" si="7"/>
        <v>37.563279631816222</v>
      </c>
      <c r="H48" s="2"/>
      <c r="I48" s="2"/>
      <c r="J48" s="3">
        <v>2033</v>
      </c>
      <c r="K48" s="3"/>
      <c r="L48" s="3"/>
      <c r="M48" s="18">
        <f>'IPCC IMPs'!F26/1000</f>
        <v>4.4127781500000003</v>
      </c>
      <c r="N48" s="18">
        <f>'IPCC IMPs'!G26/1000</f>
        <v>7.9237195300000005</v>
      </c>
      <c r="O48" s="18">
        <v>8501.0940800000008</v>
      </c>
      <c r="P48" s="12">
        <f t="shared" si="2"/>
        <v>1.9033063741837801</v>
      </c>
      <c r="Q48" s="12">
        <f t="shared" si="6"/>
        <v>3.4176351894539518</v>
      </c>
      <c r="R48" s="12"/>
      <c r="S48" s="12"/>
    </row>
    <row r="49" spans="1:42" ht="16">
      <c r="A49" s="3">
        <v>2034</v>
      </c>
      <c r="D49" s="24">
        <v>11035492</v>
      </c>
      <c r="E49" s="13"/>
      <c r="F49" s="13">
        <f t="shared" si="0"/>
        <v>19.157257380371504</v>
      </c>
      <c r="G49" s="13">
        <f t="shared" si="7"/>
        <v>35.354570038966301</v>
      </c>
      <c r="H49" s="2"/>
      <c r="I49" s="2"/>
      <c r="J49" s="3">
        <v>2034</v>
      </c>
      <c r="K49" s="3"/>
      <c r="L49" s="3"/>
      <c r="M49" s="18">
        <f>'IPCC IMPs'!F27/1000</f>
        <v>4.0500169900000005</v>
      </c>
      <c r="N49" s="18">
        <f>'IPCC IMPs'!G27/1000</f>
        <v>7.4742749700000006</v>
      </c>
      <c r="O49" s="18">
        <v>8554.3426400000008</v>
      </c>
      <c r="P49" s="12">
        <f t="shared" si="2"/>
        <v>1.7359676741527703</v>
      </c>
      <c r="Q49" s="12">
        <f t="shared" si="6"/>
        <v>3.2037148900081935</v>
      </c>
      <c r="R49" s="12"/>
      <c r="S49" s="12"/>
    </row>
    <row r="50" spans="1:42" ht="16">
      <c r="A50" s="3">
        <v>2035</v>
      </c>
      <c r="D50" s="24">
        <v>11079751</v>
      </c>
      <c r="E50" s="13"/>
      <c r="F50" s="13">
        <f t="shared" si="0"/>
        <v>17.402957827423659</v>
      </c>
      <c r="G50" s="13">
        <f t="shared" si="7"/>
        <v>33.155504571419641</v>
      </c>
      <c r="H50" s="2"/>
      <c r="I50" s="2"/>
      <c r="J50" s="3">
        <v>2035</v>
      </c>
      <c r="K50" s="3"/>
      <c r="L50" s="3"/>
      <c r="M50" s="18">
        <f>'IPCC IMPs'!F28/1000</f>
        <v>3.6872558199999999</v>
      </c>
      <c r="N50" s="18">
        <f>'IPCC IMPs'!G28/1000</f>
        <v>7.0248303999999999</v>
      </c>
      <c r="O50" s="18">
        <v>8607.5912000000008</v>
      </c>
      <c r="P50" s="12">
        <f t="shared" si="2"/>
        <v>1.5706993620545857</v>
      </c>
      <c r="Q50" s="12">
        <f t="shared" si="6"/>
        <v>2.9924413076990306</v>
      </c>
      <c r="R50" s="12"/>
      <c r="S50" s="12"/>
    </row>
    <row r="51" spans="1:42" ht="16">
      <c r="A51" s="3">
        <v>2036</v>
      </c>
      <c r="D51" s="24">
        <v>11123845</v>
      </c>
      <c r="E51" s="13"/>
      <c r="F51" s="13">
        <f t="shared" si="0"/>
        <v>16.079652508872343</v>
      </c>
      <c r="G51" s="13">
        <f t="shared" si="7"/>
        <v>31.339792598878095</v>
      </c>
      <c r="H51" s="2"/>
      <c r="I51" s="2"/>
      <c r="J51" s="3">
        <v>2036</v>
      </c>
      <c r="K51" s="3"/>
      <c r="L51" s="3"/>
      <c r="M51" s="18">
        <f>'IPCC IMPs'!F29/1000</f>
        <v>3.41174643</v>
      </c>
      <c r="N51" s="18">
        <f>'IPCC IMPs'!G29/1000</f>
        <v>6.6496104599999999</v>
      </c>
      <c r="O51" s="18">
        <v>8654.1904000000013</v>
      </c>
      <c r="P51" s="12">
        <f t="shared" si="2"/>
        <v>1.4455120966601334</v>
      </c>
      <c r="Q51" s="12">
        <f t="shared" si="6"/>
        <v>2.8173525070583141</v>
      </c>
      <c r="R51" s="12"/>
      <c r="S51" s="12"/>
    </row>
    <row r="52" spans="1:42" ht="16">
      <c r="A52" s="3">
        <v>2037</v>
      </c>
      <c r="D52" s="24">
        <v>11168066</v>
      </c>
      <c r="E52" s="13"/>
      <c r="F52" s="13">
        <f t="shared" si="0"/>
        <v>14.760450631074459</v>
      </c>
      <c r="G52" s="13">
        <f t="shared" si="7"/>
        <v>29.529920693634143</v>
      </c>
      <c r="H52" s="2"/>
      <c r="I52" s="2"/>
      <c r="J52" s="3">
        <v>2037</v>
      </c>
      <c r="K52" s="3"/>
      <c r="L52" s="3"/>
      <c r="M52" s="18">
        <f>'IPCC IMPs'!F30/1000</f>
        <v>3.1362370500000001</v>
      </c>
      <c r="N52" s="18">
        <f>'IPCC IMPs'!G30/1000</f>
        <v>6.2743905099999999</v>
      </c>
      <c r="O52" s="18">
        <v>8700.7896000000019</v>
      </c>
      <c r="P52" s="12">
        <f t="shared" si="2"/>
        <v>1.3216657773220948</v>
      </c>
      <c r="Q52" s="12">
        <f t="shared" si="6"/>
        <v>2.6441391637221825</v>
      </c>
      <c r="R52" s="12"/>
      <c r="S52" s="12"/>
    </row>
    <row r="53" spans="1:42" ht="16">
      <c r="A53" s="3">
        <v>2038</v>
      </c>
      <c r="D53" s="24">
        <v>11212635</v>
      </c>
      <c r="E53" s="13"/>
      <c r="F53" s="13">
        <f t="shared" si="0"/>
        <v>13.445507530423443</v>
      </c>
      <c r="G53" s="13">
        <f t="shared" si="7"/>
        <v>27.726282173322065</v>
      </c>
      <c r="H53" s="2"/>
      <c r="I53" s="2"/>
      <c r="J53" s="3">
        <v>2038</v>
      </c>
      <c r="K53" s="3"/>
      <c r="L53" s="3"/>
      <c r="M53" s="18">
        <f>'IPCC IMPs'!F31/1000</f>
        <v>2.8607276600000002</v>
      </c>
      <c r="N53" s="18">
        <f>'IPCC IMPs'!G31/1000</f>
        <v>5.8991705699999999</v>
      </c>
      <c r="O53" s="18">
        <v>8747.3888000000024</v>
      </c>
      <c r="P53" s="12">
        <f t="shared" si="2"/>
        <v>1.1991389651427558</v>
      </c>
      <c r="Q53" s="12">
        <f t="shared" si="6"/>
        <v>2.4727713131946296</v>
      </c>
      <c r="R53" s="12"/>
      <c r="S53" s="12"/>
    </row>
    <row r="54" spans="1:42" ht="16">
      <c r="A54" s="3">
        <v>2039</v>
      </c>
      <c r="D54" s="24">
        <v>11257650</v>
      </c>
      <c r="E54" s="13"/>
      <c r="F54" s="13">
        <f t="shared" si="0"/>
        <v>12.134741305395682</v>
      </c>
      <c r="G54" s="13">
        <f t="shared" si="7"/>
        <v>25.928840236067064</v>
      </c>
      <c r="H54" s="2"/>
      <c r="I54" s="2"/>
      <c r="J54" s="3">
        <v>2039</v>
      </c>
      <c r="K54" s="3"/>
      <c r="L54" s="3"/>
      <c r="M54" s="18">
        <f>'IPCC IMPs'!F32/1000</f>
        <v>2.5852182799999999</v>
      </c>
      <c r="N54" s="18">
        <f>'IPCC IMPs'!G32/1000</f>
        <v>5.5239506199999999</v>
      </c>
      <c r="O54" s="18">
        <v>8793.988000000003</v>
      </c>
      <c r="P54" s="12">
        <f t="shared" si="2"/>
        <v>1.0779106923199497</v>
      </c>
      <c r="Q54" s="12">
        <f t="shared" si="6"/>
        <v>2.3032196094271065</v>
      </c>
      <c r="R54" s="12"/>
      <c r="S54" s="12"/>
    </row>
    <row r="55" spans="1:42" ht="16">
      <c r="A55" s="3">
        <v>2040</v>
      </c>
      <c r="D55" s="24">
        <v>11303262</v>
      </c>
      <c r="E55" s="13"/>
      <c r="F55" s="13">
        <f t="shared" si="0"/>
        <v>10.828077573904103</v>
      </c>
      <c r="G55" s="13">
        <f t="shared" si="7"/>
        <v>24.137611216528683</v>
      </c>
      <c r="H55" s="2"/>
      <c r="I55" s="2"/>
      <c r="J55" s="3">
        <v>2040</v>
      </c>
      <c r="K55" s="3"/>
      <c r="L55" s="3"/>
      <c r="M55" s="18">
        <f>'IPCC IMPs'!F33/1000</f>
        <v>2.30970889</v>
      </c>
      <c r="N55" s="18">
        <f>'IPCC IMPs'!G33/1000</f>
        <v>5.1487306799999999</v>
      </c>
      <c r="O55" s="18">
        <v>8840.5871999999999</v>
      </c>
      <c r="P55" s="12">
        <f t="shared" si="2"/>
        <v>0.95796041655091269</v>
      </c>
      <c r="Q55" s="12">
        <f t="shared" si="6"/>
        <v>2.1354553416994744</v>
      </c>
      <c r="R55" s="12"/>
      <c r="S55" s="12"/>
    </row>
    <row r="56" spans="1:42" ht="16">
      <c r="A56" s="3">
        <v>2041</v>
      </c>
      <c r="D56" s="24">
        <v>11349389</v>
      </c>
      <c r="E56" s="13"/>
      <c r="F56" s="13">
        <f t="shared" si="0"/>
        <v>9.8309203252486288</v>
      </c>
      <c r="G56" s="13">
        <f t="shared" si="7"/>
        <v>22.999301658676305</v>
      </c>
      <c r="H56" s="2"/>
      <c r="I56" s="2"/>
      <c r="J56" s="3">
        <v>2041</v>
      </c>
      <c r="K56" s="3"/>
      <c r="L56" s="3"/>
      <c r="M56" s="18">
        <f>'IPCC IMPs'!F34/1000</f>
        <v>2.0977872900000003</v>
      </c>
      <c r="N56" s="18">
        <f>'IPCC IMPs'!G34/1000</f>
        <v>4.9077442499999995</v>
      </c>
      <c r="O56" s="18">
        <v>8879.9635999999991</v>
      </c>
      <c r="P56" s="12">
        <f t="shared" si="2"/>
        <v>0.86620701125396515</v>
      </c>
      <c r="Q56" s="12">
        <f t="shared" si="6"/>
        <v>2.026479280838493</v>
      </c>
      <c r="R56" s="12"/>
      <c r="S56" s="12"/>
    </row>
    <row r="57" spans="1:42" ht="16">
      <c r="A57" s="3">
        <v>2042</v>
      </c>
      <c r="D57" s="24">
        <v>11396046</v>
      </c>
      <c r="E57" s="13"/>
      <c r="F57" s="13">
        <f t="shared" si="0"/>
        <v>8.8349412132765899</v>
      </c>
      <c r="G57" s="13">
        <f t="shared" si="7"/>
        <v>21.862920151168776</v>
      </c>
      <c r="H57" s="2"/>
      <c r="I57" s="2"/>
      <c r="J57" s="3">
        <v>2042</v>
      </c>
      <c r="K57" s="3"/>
      <c r="L57" s="3"/>
      <c r="M57" s="18">
        <f>'IPCC IMPs'!F35/1000</f>
        <v>1.8858656900000001</v>
      </c>
      <c r="N57" s="18">
        <f>'IPCC IMPs'!G35/1000</f>
        <v>4.6667578199999999</v>
      </c>
      <c r="O57" s="18">
        <v>8919.3399999999983</v>
      </c>
      <c r="P57" s="12">
        <f t="shared" si="2"/>
        <v>0.77526373737668219</v>
      </c>
      <c r="Q57" s="12">
        <f t="shared" si="6"/>
        <v>1.9184654178448186</v>
      </c>
      <c r="R57" s="12"/>
      <c r="S57" s="12"/>
    </row>
    <row r="58" spans="1:42" ht="16">
      <c r="A58" s="3">
        <v>2043</v>
      </c>
      <c r="D58" s="24">
        <v>11443210</v>
      </c>
      <c r="E58" s="13"/>
      <c r="F58" s="13">
        <f t="shared" si="0"/>
        <v>7.8399710815034105</v>
      </c>
      <c r="G58" s="13">
        <f t="shared" si="7"/>
        <v>20.72824283041761</v>
      </c>
      <c r="H58" s="2"/>
      <c r="I58" s="2"/>
      <c r="J58" s="3">
        <v>2043</v>
      </c>
      <c r="K58" s="3"/>
      <c r="L58" s="3"/>
      <c r="M58" s="18">
        <f>'IPCC IMPs'!F36/1000</f>
        <v>1.6739440999999999</v>
      </c>
      <c r="N58" s="18">
        <f>'IPCC IMPs'!G36/1000</f>
        <v>4.4257713999999995</v>
      </c>
      <c r="O58" s="18">
        <v>8958.7163999999975</v>
      </c>
      <c r="P58" s="12">
        <f t="shared" si="2"/>
        <v>0.68511991665829874</v>
      </c>
      <c r="Q58" s="12">
        <f t="shared" si="6"/>
        <v>1.8114010693168798</v>
      </c>
      <c r="R58" s="12"/>
      <c r="S58" s="12"/>
    </row>
    <row r="59" spans="1:42" ht="16">
      <c r="A59" s="3">
        <v>2044</v>
      </c>
      <c r="D59" s="24">
        <v>11490789</v>
      </c>
      <c r="E59" s="13"/>
      <c r="F59" s="13">
        <f t="shared" si="0"/>
        <v>6.8458104317497739</v>
      </c>
      <c r="G59" s="13">
        <f t="shared" si="7"/>
        <v>19.594940982273297</v>
      </c>
      <c r="H59" s="2"/>
      <c r="I59" s="2"/>
      <c r="J59" s="3">
        <v>2044</v>
      </c>
      <c r="K59" s="3"/>
      <c r="L59" s="3"/>
      <c r="M59" s="18">
        <f>'IPCC IMPs'!F37/1000</f>
        <v>1.4620225</v>
      </c>
      <c r="N59" s="18">
        <f>'IPCC IMPs'!G37/1000</f>
        <v>4.1847849699999999</v>
      </c>
      <c r="O59" s="18">
        <v>8998.0927999999967</v>
      </c>
      <c r="P59" s="12">
        <f t="shared" si="2"/>
        <v>0.59576504552905585</v>
      </c>
      <c r="Q59" s="12">
        <f t="shared" si="6"/>
        <v>1.7052737616427642</v>
      </c>
      <c r="R59" s="12"/>
      <c r="S59" s="12"/>
    </row>
    <row r="60" spans="1:42" ht="16">
      <c r="A60" s="3">
        <v>2045</v>
      </c>
      <c r="D60" s="24">
        <v>11538636</v>
      </c>
      <c r="E60" s="13"/>
      <c r="F60" s="13">
        <f t="shared" si="0"/>
        <v>5.8522671270291902</v>
      </c>
      <c r="G60" s="13">
        <f t="shared" si="7"/>
        <v>18.462639736734626</v>
      </c>
      <c r="H60" s="2"/>
      <c r="I60" s="2"/>
      <c r="J60" s="3">
        <v>2045</v>
      </c>
      <c r="K60" s="3"/>
      <c r="L60" s="3"/>
      <c r="M60" s="18">
        <f>'IPCC IMPs'!F38/1000</f>
        <v>1.2501008999999998</v>
      </c>
      <c r="N60" s="18">
        <f>'IPCC IMPs'!G38/1000</f>
        <v>3.94379854</v>
      </c>
      <c r="O60" s="18">
        <v>9037.4691999999995</v>
      </c>
      <c r="P60" s="12">
        <f t="shared" si="2"/>
        <v>0.50718881564763718</v>
      </c>
      <c r="Q60" s="12">
        <f t="shared" si="6"/>
        <v>1.6000712507730224</v>
      </c>
      <c r="R60" s="12"/>
      <c r="S60" s="12"/>
      <c r="AP60" s="55"/>
    </row>
    <row r="61" spans="1:42" ht="16">
      <c r="A61" s="3">
        <v>2046</v>
      </c>
      <c r="D61" s="24">
        <v>11586564</v>
      </c>
      <c r="E61" s="13"/>
      <c r="F61" s="13">
        <f t="shared" si="0"/>
        <v>5.278884848950872</v>
      </c>
      <c r="G61" s="13">
        <f t="shared" si="7"/>
        <v>17.554473198816247</v>
      </c>
      <c r="H61" s="2"/>
      <c r="I61" s="2"/>
      <c r="J61" s="3">
        <v>2046</v>
      </c>
      <c r="K61" s="3"/>
      <c r="L61" s="3"/>
      <c r="M61" s="18">
        <f>'IPCC IMPs'!F39/1000</f>
        <v>1.1268471099999999</v>
      </c>
      <c r="N61" s="18">
        <f>'IPCC IMPs'!G39/1000</f>
        <v>3.7472322199999999</v>
      </c>
      <c r="O61" s="18">
        <v>9068.7807400000002</v>
      </c>
      <c r="P61" s="12">
        <f t="shared" si="2"/>
        <v>0.45560399519226513</v>
      </c>
      <c r="Q61" s="12">
        <f t="shared" si="6"/>
        <v>1.5150715258480638</v>
      </c>
      <c r="R61" s="12"/>
      <c r="S61" s="12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</row>
    <row r="62" spans="1:42" ht="16">
      <c r="A62" s="3">
        <v>2047</v>
      </c>
      <c r="D62" s="24">
        <v>11634411</v>
      </c>
      <c r="E62" s="13"/>
      <c r="F62" s="13">
        <f t="shared" si="0"/>
        <v>4.7046551304970041</v>
      </c>
      <c r="G62" s="13">
        <f t="shared" si="7"/>
        <v>16.644848395879812</v>
      </c>
      <c r="H62" s="2"/>
      <c r="I62" s="2"/>
      <c r="J62" s="3">
        <v>2047</v>
      </c>
      <c r="K62" s="3"/>
      <c r="L62" s="3"/>
      <c r="M62" s="18">
        <f>'IPCC IMPs'!F40/1000</f>
        <v>1.0035933100000001</v>
      </c>
      <c r="N62" s="18">
        <f>'IPCC IMPs'!G40/1000</f>
        <v>3.5506658900000003</v>
      </c>
      <c r="O62" s="18">
        <v>9100.0922800000008</v>
      </c>
      <c r="P62" s="12">
        <f t="shared" si="2"/>
        <v>0.40437415615599309</v>
      </c>
      <c r="Q62" s="12">
        <f t="shared" si="6"/>
        <v>1.4306567299264064</v>
      </c>
      <c r="R62" s="12"/>
      <c r="S62" s="57" t="s">
        <v>92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spans="1:42" ht="16">
      <c r="A63" s="3">
        <v>2048</v>
      </c>
      <c r="D63" s="24">
        <v>11682024</v>
      </c>
      <c r="E63" s="13"/>
      <c r="F63" s="13">
        <f t="shared" si="0"/>
        <v>4.129544705451587</v>
      </c>
      <c r="G63" s="13">
        <f t="shared" si="7"/>
        <v>15.733593491849458</v>
      </c>
      <c r="H63" s="2"/>
      <c r="I63" s="2"/>
      <c r="J63" s="3">
        <v>2048</v>
      </c>
      <c r="K63" s="3"/>
      <c r="L63" s="3"/>
      <c r="M63" s="18">
        <f>'IPCC IMPs'!F41/1000</f>
        <v>0.88033951600000004</v>
      </c>
      <c r="N63" s="18">
        <f>'IPCC IMPs'!G41/1000</f>
        <v>3.3540995600000003</v>
      </c>
      <c r="O63" s="18">
        <v>9131.4038200000014</v>
      </c>
      <c r="P63" s="12">
        <f t="shared" si="2"/>
        <v>0.35349565327477389</v>
      </c>
      <c r="Q63" s="12">
        <f t="shared" si="6"/>
        <v>1.3468208498672369</v>
      </c>
      <c r="R63" s="12"/>
      <c r="S63" s="57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spans="1:42" ht="16">
      <c r="A64" s="3">
        <v>2049</v>
      </c>
      <c r="D64" s="24">
        <v>11729092</v>
      </c>
      <c r="E64" s="13"/>
      <c r="F64" s="13">
        <f t="shared" si="0"/>
        <v>3.5535029773629838</v>
      </c>
      <c r="G64" s="13">
        <f t="shared" si="7"/>
        <v>14.82038745135331</v>
      </c>
      <c r="H64" s="2"/>
      <c r="I64" s="2"/>
      <c r="J64" s="3">
        <v>2049</v>
      </c>
      <c r="K64" s="3"/>
      <c r="L64" s="3"/>
      <c r="M64" s="18">
        <f>'IPCC IMPs'!F42/1000</f>
        <v>0.75708572200000002</v>
      </c>
      <c r="N64" s="18">
        <f>'IPCC IMPs'!G42/1000</f>
        <v>3.1575332299999999</v>
      </c>
      <c r="O64" s="18">
        <v>9162.715360000002</v>
      </c>
      <c r="P64" s="12">
        <f t="shared" si="2"/>
        <v>0.30296488230827961</v>
      </c>
      <c r="Q64" s="12">
        <f t="shared" si="6"/>
        <v>1.2635579507222989</v>
      </c>
      <c r="R64" s="12"/>
      <c r="S64" s="57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spans="1:42" ht="16">
      <c r="A65" s="3">
        <v>2050</v>
      </c>
      <c r="D65" s="24">
        <v>11775563</v>
      </c>
      <c r="E65" s="13"/>
      <c r="F65" s="13">
        <f t="shared" si="0"/>
        <v>2.9766066802131754</v>
      </c>
      <c r="G65" s="13">
        <f t="shared" si="7"/>
        <v>13.905317022940318</v>
      </c>
      <c r="H65" s="2"/>
      <c r="I65" s="2"/>
      <c r="J65" s="3">
        <v>2050</v>
      </c>
      <c r="K65" s="3"/>
      <c r="L65" s="3"/>
      <c r="M65" s="18">
        <f>'IPCC IMPs'!F43/1000</f>
        <v>0.63383192699999991</v>
      </c>
      <c r="N65" s="18">
        <f>'IPCC IMPs'!G43/1000</f>
        <v>2.9609669100000002</v>
      </c>
      <c r="O65" s="18">
        <v>9194.0269000000008</v>
      </c>
      <c r="P65" s="12">
        <f t="shared" si="2"/>
        <v>0.25277829010920116</v>
      </c>
      <c r="Q65" s="12">
        <f t="shared" si="6"/>
        <v>1.1808621823806063</v>
      </c>
      <c r="R65" s="12"/>
      <c r="S65" s="57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spans="1:42" ht="16">
      <c r="A66" s="3"/>
      <c r="E66" t="s">
        <v>35</v>
      </c>
      <c r="G66" s="2"/>
      <c r="H66" s="2"/>
      <c r="I66" s="2"/>
      <c r="J66" s="3"/>
      <c r="K66" s="3"/>
      <c r="L66" s="3"/>
      <c r="S66" s="57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spans="1:42" ht="16">
      <c r="A67" s="3"/>
      <c r="C67" t="s">
        <v>34</v>
      </c>
      <c r="E67" t="s">
        <v>36</v>
      </c>
      <c r="G67" s="2"/>
      <c r="H67" s="2"/>
      <c r="I67" s="2"/>
      <c r="J67" s="3"/>
      <c r="K67" s="3"/>
      <c r="L67" s="3"/>
      <c r="S67" s="57" t="s">
        <v>93</v>
      </c>
    </row>
    <row r="68" spans="1:42" ht="16">
      <c r="A68" s="3"/>
      <c r="C68" t="s">
        <v>12</v>
      </c>
      <c r="F68" t="s">
        <v>12</v>
      </c>
      <c r="G68" s="2"/>
      <c r="H68" s="2"/>
      <c r="I68" s="2"/>
      <c r="J68" s="3"/>
      <c r="K68" s="3"/>
      <c r="L68" s="3"/>
      <c r="S68" s="57"/>
      <c r="AP68" s="55"/>
    </row>
    <row r="69" spans="1:42" ht="16">
      <c r="B69" t="s">
        <v>7</v>
      </c>
      <c r="C69" s="4">
        <f>SUM(C5:C65)</f>
        <v>1864.1962594801901</v>
      </c>
      <c r="E69" t="s">
        <v>28</v>
      </c>
      <c r="F69" s="15">
        <f>'Historical responsibility C'!F69*$C$2+'Historical responsibility T'!F103*(1-$C$2)</f>
        <v>2034.1421751318112</v>
      </c>
      <c r="G69" s="15">
        <f>SUM(D5:D65)/1000000*SUM(N5:N65)*44/12/SUM(O5:O65)*1000</f>
        <v>2445.5113116583516</v>
      </c>
      <c r="I69" s="2"/>
      <c r="S69" s="57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spans="1:42" ht="16">
      <c r="B70" t="s">
        <v>8</v>
      </c>
      <c r="C70" s="4">
        <f>SUM(C15:C65)</f>
        <v>1188.1052434444996</v>
      </c>
      <c r="E70" t="s">
        <v>29</v>
      </c>
      <c r="F70" s="15">
        <f>'Historical responsibility C'!F70*$C$2+'Historical responsibility T'!F104*(1-$C$2)</f>
        <v>1623.4003799056193</v>
      </c>
      <c r="G70" s="15">
        <f>SUM(D15:D65)/1000000*SUM(N15:N65)*44/12/SUM(O15:O65)*1000</f>
        <v>2020.7570182658983</v>
      </c>
      <c r="I70" s="2"/>
      <c r="S70" s="57"/>
    </row>
    <row r="71" spans="1:42" ht="16">
      <c r="B71" t="s">
        <v>9</v>
      </c>
      <c r="C71" s="4">
        <f>SUM(C25:C65)</f>
        <v>547.87428518306604</v>
      </c>
      <c r="E71" t="s">
        <v>30</v>
      </c>
      <c r="F71" s="15">
        <f>'Historical responsibility C'!F71*$C$2+'Historical responsibility T'!F105*(1-$C$2)</f>
        <v>1178.3663980149011</v>
      </c>
      <c r="G71" s="15">
        <f>SUM(D25:D65)/1000000*SUM(N25:N65)*44/12/SUM(O25:O65)*1000</f>
        <v>1563.2458680316843</v>
      </c>
      <c r="I71" s="2"/>
      <c r="S71" s="57"/>
    </row>
    <row r="72" spans="1:42" ht="16">
      <c r="E72" t="s">
        <v>54</v>
      </c>
      <c r="F72" s="4">
        <f>'Historical responsibility C'!F72*$C$2+SUM('Historical responsibility T'!F66:F96)*(1-$C$2)</f>
        <v>672.78007491311826</v>
      </c>
      <c r="G72" s="4">
        <f>SUM(G35:G65)</f>
        <v>1042.6761114332717</v>
      </c>
      <c r="H72" s="2"/>
      <c r="I72" s="2"/>
      <c r="T72" s="12"/>
      <c r="U72" s="12"/>
      <c r="V72" s="12"/>
    </row>
    <row r="73" spans="1:42" ht="16">
      <c r="H73" s="2"/>
      <c r="I73" s="2"/>
      <c r="T73" s="12"/>
      <c r="U73" s="12"/>
      <c r="V73" s="12"/>
    </row>
    <row r="74" spans="1:42" ht="16">
      <c r="H74" s="2"/>
      <c r="I74" s="2"/>
      <c r="T74" s="12"/>
      <c r="U74" s="12"/>
      <c r="V74" s="12"/>
    </row>
    <row r="75" spans="1:42" ht="48">
      <c r="D75" s="20" t="s">
        <v>37</v>
      </c>
      <c r="E75" s="20" t="s">
        <v>77</v>
      </c>
      <c r="F75" s="20" t="s">
        <v>78</v>
      </c>
      <c r="G75" s="5"/>
      <c r="H75" s="5"/>
      <c r="I75" s="5"/>
      <c r="J75" t="s">
        <v>42</v>
      </c>
      <c r="T75" s="12"/>
      <c r="U75" s="12"/>
      <c r="V75" s="12"/>
      <c r="W75" s="5"/>
    </row>
    <row r="76" spans="1:42" ht="32">
      <c r="E76" t="s">
        <v>12</v>
      </c>
      <c r="F76" t="s">
        <v>12</v>
      </c>
      <c r="J76" s="20" t="s">
        <v>40</v>
      </c>
      <c r="K76" s="20" t="s">
        <v>41</v>
      </c>
      <c r="M76" t="s">
        <v>39</v>
      </c>
      <c r="N76" t="s">
        <v>43</v>
      </c>
      <c r="T76" s="12"/>
      <c r="U76" s="12"/>
      <c r="V76" s="12"/>
    </row>
    <row r="77" spans="1:42">
      <c r="D77" s="8">
        <v>1990</v>
      </c>
      <c r="E77" s="14">
        <f>F69-C69</f>
        <v>169.94591565162114</v>
      </c>
      <c r="F77" s="14">
        <f>G69-C69</f>
        <v>581.31505217816152</v>
      </c>
      <c r="G77" s="12"/>
      <c r="I77">
        <v>1990</v>
      </c>
      <c r="J77" s="9">
        <f>E77/$C$34*2</f>
        <v>6.815917820295784</v>
      </c>
      <c r="K77" s="9">
        <f>2019+J77</f>
        <v>2025.8159178202957</v>
      </c>
      <c r="L77" s="16"/>
      <c r="M77" s="17">
        <f>(0-$C$34)/($A$34-K77)/$C$34</f>
        <v>0.14671538395347306</v>
      </c>
      <c r="N77" s="17">
        <f t="shared" ref="N77:N81" si="11">M77*2</f>
        <v>0.29343076790694611</v>
      </c>
      <c r="T77" s="12"/>
      <c r="U77" s="12"/>
      <c r="V77" s="12"/>
      <c r="W77" s="4"/>
      <c r="X77" s="4"/>
    </row>
    <row r="78" spans="1:42">
      <c r="D78" s="8">
        <v>2000</v>
      </c>
      <c r="E78" s="14">
        <f>F70-C70</f>
        <v>435.29513646111968</v>
      </c>
      <c r="F78" s="14">
        <f>G70-C70</f>
        <v>832.6517748213987</v>
      </c>
      <c r="G78" s="12"/>
      <c r="I78">
        <v>2000</v>
      </c>
      <c r="J78" s="9">
        <f>E78/$C$34*2</f>
        <v>17.458118168461723</v>
      </c>
      <c r="K78" s="9">
        <f t="shared" ref="K78:K81" si="12">2019+J78</f>
        <v>2036.4581181684616</v>
      </c>
      <c r="L78" s="16"/>
      <c r="M78" s="17">
        <f>(0-$C$34)/($A$34-K78)/$C$34</f>
        <v>5.7279942222324763E-2</v>
      </c>
      <c r="N78" s="17">
        <f t="shared" si="11"/>
        <v>0.11455988444464953</v>
      </c>
      <c r="T78" s="12"/>
      <c r="U78" s="12"/>
      <c r="V78" s="12"/>
      <c r="W78" s="4"/>
      <c r="X78" s="4"/>
    </row>
    <row r="79" spans="1:42">
      <c r="D79" s="8">
        <v>2010</v>
      </c>
      <c r="E79" s="14">
        <f>F71-C71</f>
        <v>630.49211283183502</v>
      </c>
      <c r="F79" s="14">
        <f>G71-C71</f>
        <v>1015.3715828486182</v>
      </c>
      <c r="G79" s="12"/>
      <c r="I79">
        <v>2010</v>
      </c>
      <c r="J79" s="9">
        <f>E79/$C$34*2</f>
        <v>25.286764974192252</v>
      </c>
      <c r="K79" s="9">
        <f t="shared" si="12"/>
        <v>2044.2867649741922</v>
      </c>
      <c r="L79" s="16"/>
      <c r="M79" s="17">
        <f t="shared" ref="M79:M81" si="13">(0-$C$34)/($A$34-K79)/$C$34</f>
        <v>3.9546379341944438E-2</v>
      </c>
      <c r="N79" s="17">
        <f t="shared" si="11"/>
        <v>7.9092758683888875E-2</v>
      </c>
      <c r="T79" s="12"/>
      <c r="U79" s="12"/>
      <c r="V79" s="12"/>
      <c r="W79" s="4"/>
      <c r="X79" s="4"/>
    </row>
    <row r="80" spans="1:42">
      <c r="D80" s="8" t="s">
        <v>1</v>
      </c>
      <c r="E80" s="14">
        <f>F72-C72</f>
        <v>672.78007491311826</v>
      </c>
      <c r="F80" s="14">
        <f>G72-C72</f>
        <v>1042.6761114332717</v>
      </c>
      <c r="I80" t="s">
        <v>1</v>
      </c>
      <c r="J80" s="9">
        <f>E80/$C$34*2</f>
        <v>26.982782635038351</v>
      </c>
      <c r="K80" s="9">
        <f t="shared" si="12"/>
        <v>2045.9827826350383</v>
      </c>
      <c r="L80" s="16"/>
      <c r="M80" s="17">
        <f t="shared" si="13"/>
        <v>3.7060669891824105E-2</v>
      </c>
      <c r="N80" s="17">
        <f t="shared" si="11"/>
        <v>7.412133978364821E-2</v>
      </c>
      <c r="T80" s="12"/>
      <c r="U80" s="12"/>
      <c r="V80" s="12"/>
      <c r="W80" s="4"/>
      <c r="X80" s="4"/>
    </row>
    <row r="81" spans="4:27">
      <c r="D81" s="8" t="s">
        <v>2</v>
      </c>
      <c r="E81" s="14">
        <f>'Economic capacity'!L6</f>
        <v>214.60750796709743</v>
      </c>
      <c r="F81" s="14">
        <f>'Economic capacity'!M6</f>
        <v>325.77723060236667</v>
      </c>
      <c r="I81" t="s">
        <v>2</v>
      </c>
      <c r="J81" s="9">
        <f>E81/$C$34*2</f>
        <v>8.6071332300845178</v>
      </c>
      <c r="K81" s="9">
        <f t="shared" si="12"/>
        <v>2027.6071332300846</v>
      </c>
      <c r="L81" s="16"/>
      <c r="M81" s="17">
        <f t="shared" si="13"/>
        <v>0.11618270256404149</v>
      </c>
      <c r="N81" s="17">
        <f t="shared" si="11"/>
        <v>0.23236540512808299</v>
      </c>
      <c r="T81" s="12"/>
      <c r="U81" s="12"/>
      <c r="V81" s="12"/>
      <c r="W81" s="4"/>
    </row>
    <row r="82" spans="4:27" ht="16">
      <c r="M82" s="2"/>
      <c r="N82" s="6"/>
      <c r="O82" s="6"/>
      <c r="P82" s="6"/>
      <c r="Q82" s="6"/>
      <c r="R82" s="6"/>
      <c r="S82" s="6"/>
      <c r="T82" s="12"/>
      <c r="U82" s="12"/>
      <c r="V82" s="12"/>
      <c r="Y82" s="4"/>
      <c r="Z82" s="4"/>
      <c r="AA82" s="4"/>
    </row>
    <row r="83" spans="4:27" ht="16">
      <c r="D83" t="s">
        <v>94</v>
      </c>
      <c r="E83">
        <f>'Historical responsibility T'!C65*24/2</f>
        <v>491.59992611521</v>
      </c>
      <c r="H83" s="2"/>
      <c r="I83" s="2"/>
      <c r="J83" s="2"/>
      <c r="K83" s="2"/>
      <c r="L83" s="2"/>
      <c r="M83" s="7"/>
      <c r="T83" s="12"/>
      <c r="U83" s="12"/>
      <c r="V83" s="12"/>
    </row>
    <row r="84" spans="4:27" ht="16">
      <c r="H84" s="2"/>
      <c r="I84" s="2"/>
      <c r="J84" s="2"/>
      <c r="K84" s="2"/>
      <c r="L84" s="2"/>
      <c r="T84" s="12"/>
      <c r="U84" s="12"/>
      <c r="V84" s="12"/>
    </row>
    <row r="85" spans="4:27" ht="16">
      <c r="D85" s="8">
        <v>1990</v>
      </c>
      <c r="E85">
        <f>(F69-SUM(C5:C34)-E83*(1-C2))/C2</f>
        <v>-483.10919650172576</v>
      </c>
      <c r="H85" s="2"/>
      <c r="I85">
        <v>1990</v>
      </c>
      <c r="J85" s="9">
        <f>E85/$C$34*2</f>
        <v>-19.375767690322128</v>
      </c>
      <c r="K85" s="9">
        <f>2019+J85</f>
        <v>1999.6242323096778</v>
      </c>
      <c r="L85" s="2"/>
      <c r="T85" s="12"/>
      <c r="U85" s="12"/>
      <c r="V85" s="12"/>
    </row>
    <row r="86" spans="4:27" ht="16">
      <c r="D86" s="8">
        <v>2000</v>
      </c>
      <c r="E86">
        <f>(F70-SUM(C15:C34)-E83*(1-C2))/C2</f>
        <v>320.97935140584553</v>
      </c>
      <c r="H86" s="2"/>
      <c r="I86">
        <v>2000</v>
      </c>
      <c r="J86" s="9">
        <f t="shared" ref="J86:J89" si="14">E86/$C$34*2</f>
        <v>12.873324273817085</v>
      </c>
      <c r="K86" s="9">
        <f t="shared" ref="K86:K89" si="15">2019+J86</f>
        <v>2031.8733242738172</v>
      </c>
      <c r="L86" s="2"/>
      <c r="T86" s="12"/>
      <c r="U86" s="12"/>
      <c r="V86" s="12"/>
    </row>
    <row r="87" spans="4:27" ht="16">
      <c r="D87" s="8">
        <v>2010</v>
      </c>
      <c r="E87">
        <f>(F71-SUM(C25:C34)-E83*(1-C2))/C2</f>
        <v>912.48534040801314</v>
      </c>
      <c r="H87" s="2"/>
      <c r="I87">
        <v>2010</v>
      </c>
      <c r="J87" s="9">
        <f t="shared" si="14"/>
        <v>36.596496412394444</v>
      </c>
      <c r="K87" s="9">
        <f t="shared" si="15"/>
        <v>2055.5964964123946</v>
      </c>
      <c r="L87" s="2"/>
      <c r="T87" s="12"/>
      <c r="U87" s="12"/>
      <c r="V87" s="12"/>
    </row>
    <row r="88" spans="4:27" ht="16">
      <c r="D88" s="8" t="s">
        <v>1</v>
      </c>
      <c r="E88">
        <f>(E80-$E$83*(1-$C$2))/C2</f>
        <v>1040.6306800482655</v>
      </c>
      <c r="H88" s="2"/>
      <c r="I88" t="s">
        <v>1</v>
      </c>
      <c r="J88" s="9">
        <f t="shared" si="14"/>
        <v>41.735943869503835</v>
      </c>
      <c r="K88" s="9">
        <f t="shared" si="15"/>
        <v>2060.7359438695039</v>
      </c>
      <c r="L88" s="2"/>
      <c r="T88" s="12"/>
      <c r="U88" s="12"/>
      <c r="V88" s="12"/>
    </row>
    <row r="89" spans="4:27" ht="16">
      <c r="D89" s="8" t="s">
        <v>2</v>
      </c>
      <c r="E89">
        <f>(E81-$E$83*(1-$C$2))/C2</f>
        <v>-347.77103796997943</v>
      </c>
      <c r="H89" s="2"/>
      <c r="I89" t="s">
        <v>2</v>
      </c>
      <c r="J89" s="9">
        <f t="shared" si="14"/>
        <v>-13.947842206113844</v>
      </c>
      <c r="K89" s="9">
        <f t="shared" si="15"/>
        <v>2005.0521577938862</v>
      </c>
      <c r="L89" s="2"/>
      <c r="T89" s="12"/>
      <c r="U89" s="12"/>
      <c r="V89" s="12"/>
    </row>
    <row r="90" spans="4:27" ht="16">
      <c r="H90" s="2"/>
      <c r="I90" s="2"/>
      <c r="J90" s="2"/>
      <c r="K90" s="2"/>
      <c r="L90" s="2"/>
      <c r="T90" s="12"/>
      <c r="U90" s="12"/>
      <c r="V90" s="12"/>
    </row>
    <row r="91" spans="4:27" ht="16">
      <c r="H91" s="2"/>
      <c r="I91" s="2"/>
      <c r="J91" s="2"/>
      <c r="K91" s="2"/>
      <c r="L91" s="2"/>
      <c r="T91" s="12"/>
      <c r="U91" s="12"/>
      <c r="V91" s="12"/>
    </row>
    <row r="92" spans="4:27" ht="16">
      <c r="H92" s="2"/>
      <c r="I92" s="2"/>
      <c r="J92" s="2"/>
      <c r="K92" s="2"/>
      <c r="L92" s="2"/>
      <c r="T92" s="12"/>
      <c r="U92" s="12"/>
      <c r="V92" s="12"/>
    </row>
    <row r="93" spans="4:27" ht="16">
      <c r="H93" s="2"/>
      <c r="I93" s="2"/>
      <c r="J93" s="2"/>
      <c r="K93" s="2"/>
      <c r="L93" s="2"/>
      <c r="T93" s="12"/>
      <c r="U93" s="12"/>
      <c r="V93" s="12"/>
    </row>
    <row r="94" spans="4:27" ht="16">
      <c r="H94" s="2"/>
      <c r="I94" s="2"/>
      <c r="J94" s="2"/>
      <c r="K94" s="2"/>
      <c r="L94" s="2"/>
      <c r="T94" s="12"/>
      <c r="U94" s="12"/>
      <c r="V94" s="12"/>
    </row>
    <row r="95" spans="4:27" ht="16">
      <c r="H95" s="2"/>
      <c r="I95" s="2"/>
      <c r="J95" s="2"/>
      <c r="K95" s="2"/>
      <c r="L95" s="2"/>
      <c r="T95" s="12"/>
      <c r="U95" s="12"/>
      <c r="V95" s="12"/>
    </row>
    <row r="96" spans="4:27" ht="16">
      <c r="H96" s="2"/>
      <c r="I96" s="2"/>
      <c r="J96" s="2"/>
      <c r="K96" s="2"/>
      <c r="L96" s="2"/>
      <c r="T96" s="12"/>
      <c r="U96" s="12"/>
      <c r="V96" s="12"/>
    </row>
    <row r="97" spans="8:22" ht="16">
      <c r="H97" s="2"/>
      <c r="I97" s="2"/>
      <c r="J97" s="2"/>
      <c r="K97" s="2"/>
      <c r="L97" s="2"/>
      <c r="T97" s="12"/>
      <c r="U97" s="12"/>
      <c r="V97" s="12"/>
    </row>
    <row r="98" spans="8:22" ht="16">
      <c r="H98" s="2"/>
      <c r="I98" s="2"/>
      <c r="J98" s="2"/>
      <c r="K98" s="2"/>
      <c r="L98" s="2"/>
      <c r="T98" s="12"/>
      <c r="U98" s="12"/>
      <c r="V98" s="12"/>
    </row>
    <row r="99" spans="8:22" ht="16">
      <c r="H99" s="2"/>
      <c r="I99" s="2"/>
      <c r="J99" s="2"/>
      <c r="K99" s="2"/>
      <c r="L99" s="2"/>
      <c r="U99" s="12"/>
      <c r="V99" s="12"/>
    </row>
    <row r="100" spans="8:22" ht="16">
      <c r="H100" s="2"/>
      <c r="I100" s="2"/>
      <c r="J100" s="2"/>
      <c r="K100" s="2"/>
      <c r="L100" s="2"/>
    </row>
    <row r="101" spans="8:22" ht="16">
      <c r="H101" s="2"/>
      <c r="I101" s="2"/>
      <c r="J101" s="2"/>
      <c r="K101" s="2"/>
      <c r="L101" s="2"/>
    </row>
    <row r="102" spans="8:22" ht="16">
      <c r="H102" s="2"/>
      <c r="I102" s="2"/>
      <c r="J102" s="2"/>
      <c r="K102" s="2"/>
      <c r="L102" s="2"/>
    </row>
    <row r="103" spans="8:22" ht="16">
      <c r="H103" s="2"/>
      <c r="I103" s="2"/>
      <c r="J103" s="2"/>
      <c r="K103" s="2"/>
      <c r="L103" s="2"/>
    </row>
    <row r="104" spans="8:22" ht="16">
      <c r="H104" s="2"/>
      <c r="I104" s="2"/>
      <c r="J104" s="2"/>
      <c r="K104" s="2"/>
      <c r="L104" s="2"/>
    </row>
    <row r="105" spans="8:22" ht="16">
      <c r="H105" s="2"/>
      <c r="I105" s="2"/>
      <c r="J105" s="2"/>
      <c r="K105" s="2"/>
      <c r="L105" s="2"/>
    </row>
    <row r="106" spans="8:22" ht="16">
      <c r="H106" s="2"/>
      <c r="I106" s="2"/>
      <c r="J106" s="2"/>
      <c r="K106" s="2"/>
      <c r="L106" s="2"/>
    </row>
    <row r="107" spans="8:22" ht="16">
      <c r="H107" s="2"/>
      <c r="I107" s="2"/>
      <c r="J107" s="2"/>
      <c r="K107" s="2"/>
      <c r="L107" s="2"/>
    </row>
    <row r="108" spans="8:22" ht="16">
      <c r="H108" s="2"/>
      <c r="I108" s="2"/>
      <c r="J108" s="2"/>
      <c r="K108" s="2"/>
      <c r="L108" s="2"/>
    </row>
    <row r="109" spans="8:22" ht="16">
      <c r="H109" s="2"/>
      <c r="I109" s="2"/>
      <c r="J109" s="2"/>
      <c r="K109" s="2"/>
      <c r="L109" s="2"/>
    </row>
    <row r="110" spans="8:22" ht="16">
      <c r="H110" s="2"/>
      <c r="I110" s="2"/>
      <c r="J110" s="2"/>
      <c r="K110" s="2"/>
      <c r="L110" s="2"/>
    </row>
    <row r="111" spans="8:22" ht="16">
      <c r="H111" s="2"/>
      <c r="I111" s="2"/>
      <c r="J111" s="2"/>
      <c r="K111" s="2"/>
      <c r="L111" s="2"/>
    </row>
    <row r="112" spans="8:22" ht="16">
      <c r="H112" s="2"/>
      <c r="I112" s="2"/>
      <c r="J112" s="2"/>
      <c r="K112" s="2"/>
      <c r="L112" s="2"/>
    </row>
    <row r="113" spans="8:12" ht="16">
      <c r="H113" s="2"/>
      <c r="I113" s="2"/>
      <c r="J113" s="2"/>
      <c r="K113" s="2"/>
      <c r="L113" s="2"/>
    </row>
    <row r="114" spans="8:12" ht="16">
      <c r="H114" s="2"/>
      <c r="I114" s="2"/>
      <c r="J114" s="2"/>
      <c r="K114" s="2"/>
      <c r="L114" s="2"/>
    </row>
    <row r="115" spans="8:12" ht="16">
      <c r="H115" s="2"/>
      <c r="I115" s="2"/>
      <c r="J115" s="2"/>
      <c r="K115" s="2"/>
      <c r="L115" s="2"/>
    </row>
    <row r="116" spans="8:12" ht="16">
      <c r="H116" s="2"/>
      <c r="I116" s="2"/>
      <c r="J116" s="2"/>
      <c r="K116" s="2"/>
      <c r="L116" s="2"/>
    </row>
    <row r="117" spans="8:12" ht="16">
      <c r="H117" s="2"/>
      <c r="I117" s="2"/>
      <c r="J117" s="2"/>
      <c r="K117" s="2"/>
      <c r="L117" s="2"/>
    </row>
    <row r="118" spans="8:12" ht="16">
      <c r="H118" s="2"/>
      <c r="I118" s="2"/>
      <c r="J118" s="2"/>
      <c r="K118" s="2"/>
      <c r="L118" s="2"/>
    </row>
    <row r="119" spans="8:12" ht="16">
      <c r="H119" s="2"/>
      <c r="I119" s="2"/>
      <c r="J119" s="2"/>
      <c r="K119" s="2"/>
      <c r="L119" s="2"/>
    </row>
    <row r="120" spans="8:12" ht="16">
      <c r="H120" s="2"/>
      <c r="I120" s="2"/>
      <c r="J120" s="2"/>
      <c r="K120" s="2"/>
      <c r="L120" s="2"/>
    </row>
    <row r="121" spans="8:12" ht="16">
      <c r="H121" s="2"/>
      <c r="I121" s="2"/>
      <c r="J121" s="2"/>
      <c r="K121" s="2"/>
      <c r="L121" s="2"/>
    </row>
    <row r="122" spans="8:12" ht="16">
      <c r="H122" s="2"/>
      <c r="I122" s="2"/>
      <c r="J122" s="2"/>
      <c r="K122" s="2"/>
      <c r="L122" s="2"/>
    </row>
    <row r="123" spans="8:12" ht="16">
      <c r="H123" s="2"/>
      <c r="I123" s="2"/>
      <c r="J123" s="2"/>
      <c r="K123" s="2"/>
      <c r="L123" s="2"/>
    </row>
    <row r="124" spans="8:12" ht="16">
      <c r="H124" s="2"/>
      <c r="I124" s="2"/>
      <c r="J124" s="2"/>
      <c r="K124" s="2"/>
      <c r="L124" s="2"/>
    </row>
    <row r="125" spans="8:12" ht="16">
      <c r="H125" s="2"/>
      <c r="I125" s="2"/>
      <c r="J125" s="2"/>
      <c r="K125" s="2"/>
      <c r="L125" s="2"/>
    </row>
    <row r="126" spans="8:12" ht="16">
      <c r="H126" s="2"/>
      <c r="I126" s="2"/>
      <c r="J126" s="2"/>
      <c r="K126" s="2"/>
      <c r="L126" s="2"/>
    </row>
    <row r="127" spans="8:12" ht="16">
      <c r="H127" s="2"/>
      <c r="I127" s="2"/>
      <c r="J127" s="2"/>
      <c r="K127" s="2"/>
      <c r="L127" s="2"/>
    </row>
    <row r="128" spans="8:12" ht="16">
      <c r="H128" s="2"/>
      <c r="I128" s="2"/>
      <c r="J128" s="2"/>
      <c r="K128" s="2"/>
      <c r="L128" s="2"/>
    </row>
    <row r="129" spans="8:12" ht="16">
      <c r="H129" s="2"/>
      <c r="I129" s="2"/>
      <c r="J129" s="2"/>
      <c r="K129" s="2"/>
      <c r="L129" s="2"/>
    </row>
    <row r="130" spans="8:12" ht="16">
      <c r="H130" s="2"/>
      <c r="I130" s="2"/>
      <c r="J130" s="2"/>
      <c r="K130" s="2"/>
      <c r="L130" s="2"/>
    </row>
    <row r="131" spans="8:12" ht="16">
      <c r="H131" s="2"/>
      <c r="I131" s="2"/>
      <c r="J131" s="2"/>
      <c r="K131" s="2"/>
      <c r="L131" s="2"/>
    </row>
    <row r="132" spans="8:12" ht="16">
      <c r="H132" s="2"/>
      <c r="I132" s="2"/>
      <c r="J132" s="2"/>
      <c r="K132" s="2"/>
      <c r="L132" s="2"/>
    </row>
    <row r="133" spans="8:12" ht="16">
      <c r="H133" s="2"/>
      <c r="I133" s="2"/>
      <c r="J133" s="2"/>
      <c r="K133" s="2"/>
      <c r="L133" s="2"/>
    </row>
    <row r="134" spans="8:12" ht="16">
      <c r="H134" s="2"/>
      <c r="I134" s="2"/>
      <c r="J134" s="2"/>
      <c r="K134" s="2"/>
      <c r="L134" s="2"/>
    </row>
    <row r="135" spans="8:12" ht="16">
      <c r="H135" s="2"/>
      <c r="I135" s="2"/>
      <c r="J135" s="2"/>
      <c r="K135" s="2"/>
      <c r="L135" s="2"/>
    </row>
    <row r="136" spans="8:12" ht="16">
      <c r="H136" s="2"/>
      <c r="I136" s="2"/>
      <c r="J136" s="2"/>
      <c r="K136" s="2"/>
      <c r="L136" s="2"/>
    </row>
    <row r="137" spans="8:12" ht="16">
      <c r="H137" s="2"/>
      <c r="I137" s="2"/>
      <c r="J137" s="2"/>
      <c r="K137" s="2"/>
      <c r="L137" s="2"/>
    </row>
    <row r="138" spans="8:12" ht="16">
      <c r="H138" s="2"/>
      <c r="I138" s="2"/>
      <c r="J138" s="2"/>
      <c r="K138" s="2"/>
      <c r="L138" s="2"/>
    </row>
    <row r="139" spans="8:12" ht="16">
      <c r="H139" s="2"/>
      <c r="I139" s="2"/>
      <c r="J139" s="2"/>
      <c r="K139" s="2"/>
      <c r="L139" s="2"/>
    </row>
    <row r="140" spans="8:12" ht="16">
      <c r="H140" s="2"/>
      <c r="I140" s="2"/>
      <c r="J140" s="2"/>
      <c r="K140" s="2"/>
      <c r="L140" s="2"/>
    </row>
    <row r="141" spans="8:12" ht="16">
      <c r="H141" s="2"/>
      <c r="I141" s="2"/>
      <c r="J141" s="2"/>
      <c r="K141" s="2"/>
      <c r="L141" s="2"/>
    </row>
    <row r="142" spans="8:12" ht="16">
      <c r="H142" s="2"/>
      <c r="I142" s="2"/>
      <c r="J142" s="2"/>
      <c r="K142" s="2"/>
      <c r="L142" s="2"/>
    </row>
    <row r="143" spans="8:12" ht="16">
      <c r="H143" s="2"/>
      <c r="I143" s="2"/>
      <c r="J143" s="2"/>
      <c r="K143" s="2"/>
      <c r="L143" s="2"/>
    </row>
    <row r="144" spans="8:12" ht="16">
      <c r="H144" s="2"/>
      <c r="I144" s="2"/>
      <c r="J144" s="2"/>
      <c r="K144" s="2"/>
      <c r="L144" s="2"/>
    </row>
    <row r="145" spans="8:12" ht="16">
      <c r="H145" s="2"/>
      <c r="I145" s="2"/>
      <c r="J145" s="2"/>
      <c r="K145" s="2"/>
      <c r="L145" s="2"/>
    </row>
    <row r="146" spans="8:12" ht="16">
      <c r="H146" s="2"/>
      <c r="I146" s="2"/>
      <c r="J146" s="2"/>
      <c r="K146" s="2"/>
      <c r="L146" s="2"/>
    </row>
    <row r="147" spans="8:12" ht="16">
      <c r="H147" s="2"/>
      <c r="I147" s="2"/>
      <c r="J147" s="2"/>
      <c r="K147" s="2"/>
      <c r="L147" s="2"/>
    </row>
    <row r="148" spans="8:12" ht="16">
      <c r="H148" s="2"/>
      <c r="I148" s="2"/>
      <c r="J148" s="2"/>
      <c r="K148" s="2"/>
      <c r="L148" s="2"/>
    </row>
    <row r="149" spans="8:12" ht="16">
      <c r="H149" s="2"/>
      <c r="I149" s="2"/>
      <c r="J149" s="2"/>
      <c r="K149" s="2"/>
      <c r="L149" s="2"/>
    </row>
    <row r="150" spans="8:12" ht="16">
      <c r="H150" s="2"/>
      <c r="I150" s="2"/>
      <c r="J150" s="2"/>
      <c r="K150" s="2"/>
      <c r="L150" s="2"/>
    </row>
    <row r="151" spans="8:12" ht="16">
      <c r="H151" s="2"/>
      <c r="I151" s="2"/>
      <c r="J151" s="2"/>
      <c r="K151" s="2"/>
      <c r="L151" s="2"/>
    </row>
    <row r="152" spans="8:12" ht="16">
      <c r="H152" s="2"/>
      <c r="I152" s="2"/>
      <c r="J152" s="2"/>
      <c r="K152" s="2"/>
      <c r="L152" s="2"/>
    </row>
    <row r="153" spans="8:12" ht="16">
      <c r="H153" s="2"/>
      <c r="I153" s="2"/>
      <c r="J153" s="2"/>
      <c r="K153" s="2"/>
      <c r="L153" s="2"/>
    </row>
    <row r="154" spans="8:12" ht="16">
      <c r="H154" s="2"/>
      <c r="I154" s="2"/>
      <c r="J154" s="2"/>
      <c r="K154" s="2"/>
      <c r="L154" s="2"/>
    </row>
    <row r="155" spans="8:12" ht="16">
      <c r="H155" s="2"/>
      <c r="I155" s="2"/>
      <c r="J155" s="2"/>
      <c r="K155" s="2"/>
      <c r="L155" s="2"/>
    </row>
    <row r="156" spans="8:12" ht="16">
      <c r="H156" s="2"/>
      <c r="I156" s="2"/>
      <c r="J156" s="2"/>
      <c r="K156" s="2"/>
      <c r="L156" s="2"/>
    </row>
    <row r="157" spans="8:12" ht="16">
      <c r="H157" s="2"/>
      <c r="I157" s="2"/>
      <c r="J157" s="2"/>
      <c r="K157" s="2"/>
      <c r="L157" s="2"/>
    </row>
    <row r="158" spans="8:12" ht="16">
      <c r="H158" s="2"/>
      <c r="I158" s="2"/>
      <c r="J158" s="2"/>
      <c r="K158" s="2"/>
      <c r="L158" s="2"/>
    </row>
    <row r="159" spans="8:12" ht="16">
      <c r="H159" s="2"/>
      <c r="I159" s="2"/>
      <c r="J159" s="2"/>
      <c r="K159" s="2"/>
      <c r="L159" s="2"/>
    </row>
    <row r="160" spans="8:12" ht="16">
      <c r="H160" s="2"/>
      <c r="I160" s="2"/>
      <c r="J160" s="2"/>
      <c r="K160" s="2"/>
      <c r="L160" s="2"/>
    </row>
    <row r="161" spans="8:12" ht="16">
      <c r="H161" s="2"/>
      <c r="I161" s="2"/>
      <c r="J161" s="2"/>
      <c r="K161" s="2"/>
      <c r="L161" s="2"/>
    </row>
    <row r="162" spans="8:12" ht="16">
      <c r="H162" s="2"/>
      <c r="I162" s="2"/>
      <c r="J162" s="2"/>
      <c r="K162" s="2"/>
      <c r="L162" s="2"/>
    </row>
    <row r="163" spans="8:12" ht="16">
      <c r="H163" s="2"/>
      <c r="I163" s="2"/>
      <c r="J163" s="2"/>
      <c r="K163" s="2"/>
      <c r="L163" s="2"/>
    </row>
    <row r="164" spans="8:12" ht="16">
      <c r="H164" s="2"/>
      <c r="I164" s="2"/>
      <c r="J164" s="2"/>
      <c r="K164" s="2"/>
      <c r="L164" s="2"/>
    </row>
    <row r="165" spans="8:12" ht="16">
      <c r="H165" s="2"/>
      <c r="I165" s="2"/>
      <c r="J165" s="2"/>
      <c r="K165" s="2"/>
      <c r="L165" s="2"/>
    </row>
    <row r="166" spans="8:12" ht="16">
      <c r="H166" s="2"/>
      <c r="I166" s="2"/>
      <c r="J166" s="2"/>
      <c r="K166" s="2"/>
      <c r="L166" s="2"/>
    </row>
    <row r="167" spans="8:12" ht="16">
      <c r="H167" s="2"/>
      <c r="I167" s="2"/>
      <c r="J167" s="2"/>
      <c r="K167" s="2"/>
      <c r="L167" s="2"/>
    </row>
    <row r="168" spans="8:12" ht="16">
      <c r="H168" s="2"/>
      <c r="I168" s="2"/>
      <c r="J168" s="2"/>
      <c r="K168" s="2"/>
      <c r="L168" s="2"/>
    </row>
    <row r="169" spans="8:12" ht="16">
      <c r="H169" s="2"/>
      <c r="I169" s="2"/>
      <c r="J169" s="2"/>
      <c r="K169" s="2"/>
      <c r="L169" s="2"/>
    </row>
    <row r="170" spans="8:12" ht="16">
      <c r="H170" s="2"/>
      <c r="I170" s="2"/>
      <c r="J170" s="2"/>
      <c r="K170" s="2"/>
      <c r="L170" s="2"/>
    </row>
    <row r="171" spans="8:12" ht="16">
      <c r="H171" s="2"/>
      <c r="I171" s="2"/>
      <c r="J171" s="2"/>
      <c r="K171" s="2"/>
      <c r="L171" s="2"/>
    </row>
    <row r="172" spans="8:12" ht="16">
      <c r="H172" s="2"/>
      <c r="I172" s="2"/>
      <c r="J172" s="2"/>
      <c r="K172" s="2"/>
      <c r="L172" s="2"/>
    </row>
    <row r="173" spans="8:12" ht="16">
      <c r="H173" s="2"/>
      <c r="I173" s="2"/>
      <c r="J173" s="2"/>
      <c r="K173" s="2"/>
      <c r="L173" s="2"/>
    </row>
    <row r="174" spans="8:12" ht="16">
      <c r="H174" s="2"/>
      <c r="I174" s="2"/>
      <c r="J174" s="2"/>
      <c r="K174" s="2"/>
      <c r="L174" s="2"/>
    </row>
    <row r="175" spans="8:12" ht="16">
      <c r="H175" s="2"/>
      <c r="I175" s="2"/>
      <c r="J175" s="2"/>
      <c r="K175" s="2"/>
      <c r="L175" s="2"/>
    </row>
    <row r="176" spans="8:12" ht="16">
      <c r="H176" s="2"/>
      <c r="I176" s="2"/>
      <c r="J176" s="2"/>
      <c r="K176" s="2"/>
      <c r="L176" s="2"/>
    </row>
    <row r="177" spans="8:12" ht="16">
      <c r="H177" s="2"/>
      <c r="I177" s="2"/>
      <c r="J177" s="2"/>
      <c r="K177" s="2"/>
      <c r="L177" s="2"/>
    </row>
    <row r="178" spans="8:12" ht="16">
      <c r="H178" s="2"/>
      <c r="I178" s="2"/>
      <c r="J178" s="2"/>
      <c r="K178" s="2"/>
      <c r="L178" s="2"/>
    </row>
    <row r="179" spans="8:12" ht="16">
      <c r="H179" s="2"/>
      <c r="I179" s="2"/>
      <c r="J179" s="2"/>
      <c r="K179" s="2"/>
      <c r="L179" s="2"/>
    </row>
    <row r="180" spans="8:12" ht="16">
      <c r="H180" s="2"/>
      <c r="I180" s="2"/>
      <c r="J180" s="2"/>
      <c r="K180" s="2"/>
      <c r="L180" s="2"/>
    </row>
    <row r="181" spans="8:12" ht="16">
      <c r="H181" s="2"/>
      <c r="I181" s="2"/>
      <c r="J181" s="2"/>
      <c r="K181" s="2"/>
      <c r="L181" s="2"/>
    </row>
    <row r="182" spans="8:12" ht="16">
      <c r="H182" s="2"/>
      <c r="I182" s="2"/>
      <c r="J182" s="2"/>
      <c r="K182" s="2"/>
      <c r="L182" s="2"/>
    </row>
    <row r="183" spans="8:12" ht="16">
      <c r="H183" s="2"/>
      <c r="I183" s="2"/>
      <c r="J183" s="2"/>
      <c r="K183" s="2"/>
      <c r="L183" s="2"/>
    </row>
    <row r="184" spans="8:12" ht="16">
      <c r="H184" s="2"/>
      <c r="I184" s="2"/>
      <c r="J184" s="2"/>
      <c r="K184" s="2"/>
      <c r="L184" s="2"/>
    </row>
    <row r="185" spans="8:12" ht="16">
      <c r="H185" s="2"/>
      <c r="I185" s="2"/>
      <c r="J185" s="2"/>
      <c r="K185" s="2"/>
      <c r="L185" s="2"/>
    </row>
    <row r="186" spans="8:12" ht="16">
      <c r="H186" s="2"/>
      <c r="I186" s="2"/>
      <c r="J186" s="2"/>
      <c r="K186" s="2"/>
      <c r="L186" s="2"/>
    </row>
    <row r="187" spans="8:12" ht="16">
      <c r="H187" s="2"/>
      <c r="I187" s="2"/>
      <c r="J187" s="2"/>
      <c r="K187" s="2"/>
      <c r="L187" s="2"/>
    </row>
    <row r="188" spans="8:12" ht="16">
      <c r="H188" s="2"/>
      <c r="I188" s="2"/>
      <c r="J188" s="2"/>
      <c r="K188" s="2"/>
      <c r="L188" s="2"/>
    </row>
    <row r="189" spans="8:12" ht="16">
      <c r="H189" s="2"/>
      <c r="I189" s="2"/>
      <c r="J189" s="2"/>
      <c r="K189" s="2"/>
      <c r="L189" s="2"/>
    </row>
    <row r="190" spans="8:12" ht="16">
      <c r="H190" s="2"/>
      <c r="I190" s="2"/>
      <c r="J190" s="2"/>
      <c r="K190" s="2"/>
      <c r="L190" s="2"/>
    </row>
    <row r="191" spans="8:12" ht="16">
      <c r="H191" s="2"/>
      <c r="I191" s="2"/>
      <c r="J191" s="2"/>
      <c r="K191" s="2"/>
      <c r="L191" s="2"/>
    </row>
    <row r="192" spans="8:12" ht="16">
      <c r="H192" s="2"/>
      <c r="I192" s="2"/>
      <c r="J192" s="2"/>
      <c r="K192" s="2"/>
      <c r="L192" s="2"/>
    </row>
    <row r="193" spans="8:12" ht="16">
      <c r="H193" s="2"/>
      <c r="I193" s="2"/>
      <c r="J193" s="2"/>
      <c r="K193" s="2"/>
      <c r="L193" s="2"/>
    </row>
    <row r="194" spans="8:12" ht="16">
      <c r="H194" s="2"/>
      <c r="I194" s="2"/>
      <c r="J194" s="2"/>
      <c r="K194" s="2"/>
      <c r="L194" s="2"/>
    </row>
    <row r="195" spans="8:12" ht="16">
      <c r="H195" s="2"/>
      <c r="I195" s="2"/>
      <c r="J195" s="2"/>
      <c r="K195" s="2"/>
      <c r="L195" s="2"/>
    </row>
    <row r="196" spans="8:12" ht="16">
      <c r="H196" s="2"/>
      <c r="I196" s="2"/>
      <c r="J196" s="2"/>
      <c r="K196" s="2"/>
      <c r="L196" s="2"/>
    </row>
    <row r="197" spans="8:12" ht="16">
      <c r="H197" s="2"/>
      <c r="I197" s="2"/>
      <c r="J197" s="2"/>
      <c r="K197" s="2"/>
      <c r="L197" s="2"/>
    </row>
    <row r="198" spans="8:12" ht="16">
      <c r="H198" s="2"/>
      <c r="I198" s="2"/>
      <c r="J198" s="2"/>
      <c r="K198" s="2"/>
      <c r="L198" s="2"/>
    </row>
    <row r="199" spans="8:12" ht="16">
      <c r="H199" s="2"/>
      <c r="I199" s="2"/>
      <c r="J199" s="2"/>
      <c r="K199" s="2"/>
      <c r="L199" s="2"/>
    </row>
    <row r="200" spans="8:12" ht="16">
      <c r="H200" s="2"/>
      <c r="I200" s="2"/>
      <c r="J200" s="2"/>
      <c r="K200" s="2"/>
      <c r="L200" s="2"/>
    </row>
    <row r="201" spans="8:12" ht="16">
      <c r="H201" s="2"/>
      <c r="I201" s="2"/>
      <c r="J201" s="2"/>
      <c r="K201" s="2"/>
      <c r="L201" s="2"/>
    </row>
    <row r="202" spans="8:12" ht="16">
      <c r="H202" s="2"/>
      <c r="I202" s="2"/>
      <c r="J202" s="2"/>
      <c r="K202" s="2"/>
      <c r="L202" s="2"/>
    </row>
    <row r="203" spans="8:12" ht="16">
      <c r="H203" s="2"/>
      <c r="I203" s="2"/>
      <c r="J203" s="2"/>
      <c r="K203" s="2"/>
      <c r="L203" s="2"/>
    </row>
    <row r="204" spans="8:12" ht="16">
      <c r="H204" s="2"/>
      <c r="I204" s="2"/>
      <c r="J204" s="2"/>
      <c r="K204" s="2"/>
      <c r="L204" s="2"/>
    </row>
    <row r="205" spans="8:12" ht="16">
      <c r="H205" s="2"/>
      <c r="I205" s="2"/>
      <c r="J205" s="2"/>
      <c r="K205" s="2"/>
      <c r="L205" s="2"/>
    </row>
    <row r="206" spans="8:12" ht="16">
      <c r="H206" s="2"/>
      <c r="I206" s="2"/>
      <c r="J206" s="2"/>
      <c r="K206" s="2"/>
      <c r="L206" s="2"/>
    </row>
    <row r="207" spans="8:12" ht="16">
      <c r="H207" s="2"/>
      <c r="I207" s="2"/>
      <c r="J207" s="2"/>
      <c r="K207" s="2"/>
      <c r="L207" s="2"/>
    </row>
    <row r="208" spans="8:12" ht="16">
      <c r="H208" s="2"/>
      <c r="I208" s="2"/>
      <c r="J208" s="2"/>
      <c r="K208" s="2"/>
      <c r="L208" s="2"/>
    </row>
    <row r="209" spans="8:12" ht="16">
      <c r="H209" s="2"/>
      <c r="I209" s="2"/>
      <c r="J209" s="2"/>
      <c r="K209" s="2"/>
      <c r="L209" s="2"/>
    </row>
    <row r="210" spans="8:12" ht="16">
      <c r="H210" s="2"/>
      <c r="I210" s="2"/>
      <c r="J210" s="2"/>
      <c r="K210" s="2"/>
      <c r="L210" s="2"/>
    </row>
    <row r="211" spans="8:12" ht="16">
      <c r="H211" s="2"/>
      <c r="I211" s="2"/>
      <c r="J211" s="2"/>
      <c r="K211" s="2"/>
      <c r="L211" s="2"/>
    </row>
    <row r="212" spans="8:12" ht="16">
      <c r="H212" s="2"/>
      <c r="I212" s="2"/>
      <c r="J212" s="2"/>
      <c r="K212" s="2"/>
      <c r="L212" s="2"/>
    </row>
    <row r="213" spans="8:12" ht="16">
      <c r="H213" s="2"/>
      <c r="I213" s="2"/>
      <c r="J213" s="2"/>
      <c r="K213" s="2"/>
      <c r="L213" s="2"/>
    </row>
    <row r="214" spans="8:12" ht="16">
      <c r="H214" s="2"/>
      <c r="I214" s="2"/>
      <c r="J214" s="2"/>
      <c r="K214" s="2"/>
      <c r="L214" s="2"/>
    </row>
    <row r="215" spans="8:12" ht="16">
      <c r="H215" s="2"/>
      <c r="I215" s="2"/>
      <c r="J215" s="2"/>
      <c r="K215" s="2"/>
      <c r="L215" s="2"/>
    </row>
    <row r="216" spans="8:12" ht="16">
      <c r="H216" s="2"/>
      <c r="I216" s="2"/>
      <c r="J216" s="2"/>
      <c r="K216" s="2"/>
      <c r="L216" s="2"/>
    </row>
    <row r="217" spans="8:12" ht="16">
      <c r="H217" s="2"/>
      <c r="I217" s="2"/>
      <c r="J217" s="2"/>
      <c r="K217" s="2"/>
      <c r="L217" s="2"/>
    </row>
    <row r="218" spans="8:12" ht="16">
      <c r="H218" s="2"/>
      <c r="I218" s="2"/>
      <c r="J218" s="2"/>
      <c r="K218" s="2"/>
      <c r="L218" s="2"/>
    </row>
    <row r="219" spans="8:12" ht="16">
      <c r="H219" s="2"/>
      <c r="I219" s="2"/>
      <c r="J219" s="2"/>
      <c r="K219" s="2"/>
      <c r="L219" s="2"/>
    </row>
    <row r="220" spans="8:12" ht="16">
      <c r="H220" s="2"/>
      <c r="I220" s="2"/>
      <c r="J220" s="2"/>
      <c r="K220" s="2"/>
      <c r="L220" s="2"/>
    </row>
    <row r="221" spans="8:12" ht="16">
      <c r="H221" s="2"/>
      <c r="I221" s="2"/>
      <c r="J221" s="2"/>
      <c r="K221" s="2"/>
      <c r="L221" s="2"/>
    </row>
    <row r="222" spans="8:12" ht="16">
      <c r="H222" s="2"/>
      <c r="I222" s="2"/>
      <c r="J222" s="2"/>
      <c r="K222" s="2"/>
      <c r="L222" s="2"/>
    </row>
    <row r="223" spans="8:12" ht="16">
      <c r="H223" s="2"/>
      <c r="I223" s="2"/>
      <c r="J223" s="2"/>
      <c r="K223" s="2"/>
      <c r="L223" s="2"/>
    </row>
    <row r="224" spans="8:12" ht="16">
      <c r="H224" s="2"/>
      <c r="I224" s="2"/>
      <c r="J224" s="2"/>
      <c r="K224" s="2"/>
      <c r="L224" s="2"/>
    </row>
    <row r="225" spans="8:12" ht="16">
      <c r="H225" s="2"/>
      <c r="I225" s="2"/>
      <c r="J225" s="2"/>
      <c r="K225" s="2"/>
      <c r="L225" s="2"/>
    </row>
    <row r="226" spans="8:12" ht="16">
      <c r="H226" s="2"/>
      <c r="I226" s="2"/>
      <c r="J226" s="2"/>
      <c r="K226" s="2"/>
      <c r="L226" s="2"/>
    </row>
    <row r="227" spans="8:12" ht="16">
      <c r="H227" s="2"/>
      <c r="I227" s="2"/>
      <c r="J227" s="2"/>
      <c r="K227" s="2"/>
      <c r="L227" s="2"/>
    </row>
    <row r="228" spans="8:12" ht="16">
      <c r="H228" s="2"/>
      <c r="I228" s="2"/>
      <c r="J228" s="2"/>
      <c r="K228" s="2"/>
      <c r="L228" s="2"/>
    </row>
    <row r="229" spans="8:12" ht="16">
      <c r="H229" s="2"/>
      <c r="I229" s="2"/>
      <c r="J229" s="2"/>
      <c r="K229" s="2"/>
      <c r="L229" s="2"/>
    </row>
    <row r="230" spans="8:12" ht="16">
      <c r="H230" s="2"/>
      <c r="I230" s="2"/>
      <c r="J230" s="2"/>
      <c r="K230" s="2"/>
      <c r="L230" s="2"/>
    </row>
    <row r="231" spans="8:12" ht="16">
      <c r="H231" s="2"/>
      <c r="I231" s="2"/>
      <c r="J231" s="2"/>
      <c r="K231" s="2"/>
      <c r="L231" s="2"/>
    </row>
    <row r="232" spans="8:12" ht="16">
      <c r="H232" s="2"/>
      <c r="I232" s="2"/>
      <c r="J232" s="2"/>
      <c r="K232" s="2"/>
      <c r="L232" s="2"/>
    </row>
    <row r="233" spans="8:12" ht="16">
      <c r="H233" s="2"/>
      <c r="I233" s="2"/>
      <c r="J233" s="2"/>
      <c r="K233" s="2"/>
      <c r="L233" s="2"/>
    </row>
    <row r="234" spans="8:12" ht="16">
      <c r="H234" s="2"/>
      <c r="I234" s="2"/>
      <c r="J234" s="2"/>
      <c r="K234" s="2"/>
      <c r="L234" s="2"/>
    </row>
    <row r="235" spans="8:12" ht="16">
      <c r="H235" s="2"/>
      <c r="I235" s="2"/>
      <c r="J235" s="2"/>
      <c r="K235" s="2"/>
      <c r="L235" s="2"/>
    </row>
    <row r="236" spans="8:12" ht="16">
      <c r="H236" s="2"/>
      <c r="I236" s="2"/>
      <c r="J236" s="2"/>
      <c r="K236" s="2"/>
      <c r="L236" s="2"/>
    </row>
    <row r="237" spans="8:12" ht="16">
      <c r="H237" s="2"/>
      <c r="I237" s="2"/>
      <c r="J237" s="2"/>
      <c r="K237" s="2"/>
      <c r="L237" s="2"/>
    </row>
    <row r="238" spans="8:12" ht="16">
      <c r="H238" s="2"/>
      <c r="I238" s="2"/>
      <c r="J238" s="2"/>
      <c r="K238" s="2"/>
      <c r="L238" s="2"/>
    </row>
    <row r="239" spans="8:12" ht="16">
      <c r="H239" s="2"/>
      <c r="I239" s="2"/>
      <c r="J239" s="2"/>
      <c r="K239" s="2"/>
      <c r="L239" s="2"/>
    </row>
    <row r="240" spans="8:12" ht="16">
      <c r="H240" s="2"/>
      <c r="I240" s="2"/>
      <c r="J240" s="2"/>
      <c r="K240" s="2"/>
      <c r="L240" s="2"/>
    </row>
    <row r="241" spans="8:12" ht="16">
      <c r="H241" s="2"/>
      <c r="I241" s="2"/>
      <c r="J241" s="2"/>
      <c r="K241" s="2"/>
      <c r="L241" s="2"/>
    </row>
    <row r="242" spans="8:12" ht="16">
      <c r="H242" s="2"/>
      <c r="I242" s="2"/>
      <c r="J242" s="2"/>
      <c r="K242" s="2"/>
      <c r="L242" s="2"/>
    </row>
    <row r="243" spans="8:12" ht="16">
      <c r="H243" s="2"/>
      <c r="I243" s="2"/>
      <c r="J243" s="2"/>
      <c r="K243" s="2"/>
      <c r="L243" s="2"/>
    </row>
    <row r="244" spans="8:12" ht="16">
      <c r="H244" s="2"/>
      <c r="I244" s="2"/>
      <c r="J244" s="2"/>
      <c r="K244" s="2"/>
      <c r="L244" s="2"/>
    </row>
    <row r="245" spans="8:12" ht="16">
      <c r="H245" s="2"/>
      <c r="I245" s="2"/>
      <c r="J245" s="2"/>
      <c r="K245" s="2"/>
      <c r="L245" s="2"/>
    </row>
    <row r="246" spans="8:12" ht="16">
      <c r="H246" s="2"/>
      <c r="I246" s="2"/>
      <c r="J246" s="2"/>
      <c r="K246" s="2"/>
      <c r="L246" s="2"/>
    </row>
    <row r="247" spans="8:12" ht="16">
      <c r="H247" s="2"/>
      <c r="I247" s="2"/>
      <c r="J247" s="2"/>
      <c r="K247" s="2"/>
      <c r="L247" s="2"/>
    </row>
    <row r="248" spans="8:12" ht="16">
      <c r="H248" s="2"/>
      <c r="I248" s="2"/>
      <c r="J248" s="2"/>
      <c r="K248" s="2"/>
      <c r="L248" s="2"/>
    </row>
    <row r="249" spans="8:12" ht="16">
      <c r="H249" s="2"/>
      <c r="I249" s="2"/>
      <c r="J249" s="2"/>
      <c r="K249" s="2"/>
      <c r="L249" s="2"/>
    </row>
    <row r="250" spans="8:12" ht="16">
      <c r="H250" s="2"/>
      <c r="I250" s="2"/>
      <c r="J250" s="2"/>
      <c r="K250" s="2"/>
      <c r="L250" s="2"/>
    </row>
    <row r="251" spans="8:12" ht="16">
      <c r="H251" s="2"/>
      <c r="I251" s="2"/>
      <c r="J251" s="2"/>
      <c r="K251" s="2"/>
      <c r="L251" s="2"/>
    </row>
    <row r="252" spans="8:12" ht="16">
      <c r="H252" s="2"/>
      <c r="I252" s="2"/>
      <c r="J252" s="2"/>
      <c r="K252" s="2"/>
      <c r="L252" s="2"/>
    </row>
    <row r="253" spans="8:12" ht="16">
      <c r="H253" s="2"/>
      <c r="I253" s="2"/>
      <c r="J253" s="2"/>
      <c r="K253" s="2"/>
      <c r="L253" s="2"/>
    </row>
    <row r="254" spans="8:12" ht="16">
      <c r="H254" s="2"/>
      <c r="I254" s="2"/>
      <c r="J254" s="2"/>
      <c r="K254" s="2"/>
      <c r="L254" s="2"/>
    </row>
    <row r="255" spans="8:12" ht="16">
      <c r="H255" s="2"/>
      <c r="I255" s="2"/>
      <c r="J255" s="2"/>
      <c r="K255" s="2"/>
      <c r="L255" s="2"/>
    </row>
    <row r="256" spans="8:12" ht="16">
      <c r="H256" s="2"/>
      <c r="I256" s="2"/>
      <c r="J256" s="2"/>
      <c r="K256" s="2"/>
      <c r="L256" s="2"/>
    </row>
    <row r="257" spans="8:12" ht="16">
      <c r="H257" s="2"/>
      <c r="I257" s="2"/>
      <c r="J257" s="2"/>
      <c r="K257" s="2"/>
      <c r="L257" s="2"/>
    </row>
    <row r="258" spans="8:12" ht="16">
      <c r="H258" s="2"/>
      <c r="I258" s="2"/>
      <c r="J258" s="2"/>
      <c r="K258" s="2"/>
      <c r="L258" s="2"/>
    </row>
    <row r="259" spans="8:12" ht="16">
      <c r="H259" s="2"/>
      <c r="I259" s="2"/>
      <c r="J259" s="2"/>
      <c r="K259" s="2"/>
      <c r="L259" s="2"/>
    </row>
    <row r="260" spans="8:12" ht="16">
      <c r="H260" s="2"/>
      <c r="I260" s="2"/>
      <c r="J260" s="2"/>
      <c r="K260" s="2"/>
      <c r="L260" s="2"/>
    </row>
    <row r="261" spans="8:12" ht="16">
      <c r="H261" s="2"/>
      <c r="I261" s="2"/>
      <c r="J261" s="2"/>
      <c r="K261" s="2"/>
      <c r="L261" s="2"/>
    </row>
    <row r="262" spans="8:12" ht="16">
      <c r="H262" s="2"/>
      <c r="I262" s="2"/>
      <c r="J262" s="2"/>
      <c r="K262" s="2"/>
      <c r="L262" s="2"/>
    </row>
    <row r="263" spans="8:12" ht="16">
      <c r="H263" s="2"/>
      <c r="I263" s="2"/>
      <c r="J263" s="2"/>
      <c r="K263" s="2"/>
      <c r="L263" s="2"/>
    </row>
    <row r="264" spans="8:12" ht="16">
      <c r="H264" s="2"/>
      <c r="I264" s="2"/>
      <c r="J264" s="2"/>
      <c r="K264" s="2"/>
      <c r="L264" s="2"/>
    </row>
    <row r="265" spans="8:12" ht="16">
      <c r="H265" s="2"/>
      <c r="I265" s="2"/>
      <c r="J265" s="2"/>
      <c r="K265" s="2"/>
      <c r="L265" s="2"/>
    </row>
    <row r="266" spans="8:12" ht="16">
      <c r="H266" s="2"/>
      <c r="I266" s="2"/>
      <c r="J266" s="2"/>
      <c r="K266" s="2"/>
      <c r="L266" s="2"/>
    </row>
    <row r="267" spans="8:12" ht="16">
      <c r="H267" s="2"/>
      <c r="I267" s="2"/>
      <c r="J267" s="2"/>
      <c r="K267" s="2"/>
      <c r="L267" s="2"/>
    </row>
    <row r="268" spans="8:12" ht="16">
      <c r="H268" s="2"/>
      <c r="I268" s="2"/>
      <c r="J268" s="2"/>
      <c r="K268" s="2"/>
      <c r="L268" s="2"/>
    </row>
    <row r="269" spans="8:12" ht="16">
      <c r="H269" s="2"/>
      <c r="I269" s="2"/>
      <c r="J269" s="2"/>
      <c r="K269" s="2"/>
      <c r="L269" s="2"/>
    </row>
    <row r="270" spans="8:12" ht="16">
      <c r="H270" s="2"/>
      <c r="I270" s="2"/>
      <c r="J270" s="2"/>
      <c r="K270" s="2"/>
      <c r="L270" s="2"/>
    </row>
    <row r="271" spans="8:12" ht="16">
      <c r="H271" s="2"/>
      <c r="I271" s="2"/>
      <c r="J271" s="2"/>
      <c r="K271" s="2"/>
      <c r="L271" s="2"/>
    </row>
    <row r="272" spans="8:12" ht="16">
      <c r="H272" s="2"/>
      <c r="I272" s="2"/>
      <c r="J272" s="2"/>
      <c r="K272" s="2"/>
      <c r="L272" s="2"/>
    </row>
    <row r="273" spans="8:12" ht="16">
      <c r="H273" s="2"/>
      <c r="I273" s="2"/>
      <c r="J273" s="2"/>
      <c r="K273" s="2"/>
      <c r="L273" s="2"/>
    </row>
    <row r="274" spans="8:12" ht="16">
      <c r="H274" s="2"/>
      <c r="I274" s="2"/>
      <c r="J274" s="2"/>
      <c r="K274" s="2"/>
      <c r="L274" s="2"/>
    </row>
    <row r="275" spans="8:12" ht="16">
      <c r="H275" s="2"/>
      <c r="I275" s="2"/>
      <c r="J275" s="2"/>
      <c r="K275" s="2"/>
      <c r="L275" s="2"/>
    </row>
    <row r="276" spans="8:12" ht="16">
      <c r="H276" s="2"/>
      <c r="I276" s="2"/>
      <c r="J276" s="2"/>
      <c r="K276" s="2"/>
      <c r="L276" s="2"/>
    </row>
    <row r="277" spans="8:12" ht="16">
      <c r="H277" s="2"/>
      <c r="I277" s="2"/>
      <c r="J277" s="2"/>
      <c r="K277" s="2"/>
      <c r="L277" s="2"/>
    </row>
    <row r="278" spans="8:12" ht="16">
      <c r="H278" s="2"/>
      <c r="I278" s="2"/>
      <c r="J278" s="2"/>
      <c r="K278" s="2"/>
      <c r="L278" s="2"/>
    </row>
    <row r="279" spans="8:12" ht="16">
      <c r="H279" s="2"/>
      <c r="I279" s="2"/>
      <c r="J279" s="2"/>
      <c r="K279" s="2"/>
      <c r="L279" s="2"/>
    </row>
  </sheetData>
  <mergeCells count="4">
    <mergeCell ref="S20:S24"/>
    <mergeCell ref="S25:S29"/>
    <mergeCell ref="S62:S66"/>
    <mergeCell ref="S67:S71"/>
  </mergeCells>
  <hyperlinks>
    <hyperlink ref="P2" r:id="rId1" display="https://tntcat.iiasa.ac.at/SspDb/dsd?Action=htmlpage&amp;page=about" xr:uid="{5B6035F0-4CFF-6E4D-9DBA-308801C785E7}"/>
    <hyperlink ref="O2" r:id="rId2" display="https://www.scb.se/en/finding-statistics/statistics-by-subject-area/population/population-projections/population-projections/" xr:uid="{6B14D6E5-1695-4343-AD4B-64D3B14B234E}"/>
    <hyperlink ref="N2" r:id="rId3" display="https://data.ene.iiasa.ac.at/ar6/" xr:uid="{E0BFAEF0-3639-2144-8007-75BF103277BF}"/>
    <hyperlink ref="M2" r:id="rId4" location="section7" display="https://essd.copernicus.org/articles/14/1917/2022/ - section7" xr:uid="{3249A8DA-12B9-2B41-82DF-F175402E7558}"/>
  </hyperlinks>
  <pageMargins left="0.7" right="0.7" top="0.75" bottom="0.75" header="0.3" footer="0.3"/>
  <pageSetup paperSize="9" orientation="portrait" r:id="rId5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B6048-ECA3-CA46-87E1-D0C9F2C8A070}">
  <dimension ref="A1:G42"/>
  <sheetViews>
    <sheetView workbookViewId="0">
      <selection activeCell="N32" sqref="N32"/>
    </sheetView>
  </sheetViews>
  <sheetFormatPr baseColWidth="10" defaultRowHeight="15"/>
  <sheetData>
    <row r="1" spans="1:7">
      <c r="A1" t="s">
        <v>85</v>
      </c>
      <c r="B1" t="s">
        <v>86</v>
      </c>
      <c r="C1" t="s">
        <v>87</v>
      </c>
      <c r="D1" t="s">
        <v>88</v>
      </c>
      <c r="E1">
        <v>1990</v>
      </c>
      <c r="F1">
        <v>2000</v>
      </c>
      <c r="G1">
        <v>2010</v>
      </c>
    </row>
    <row r="2" spans="1:7">
      <c r="A2">
        <v>2015</v>
      </c>
      <c r="B2">
        <f>'Historical responsibility C+T'!C30</f>
        <v>52.581282788369087</v>
      </c>
    </row>
    <row r="3" spans="1:7">
      <c r="A3">
        <v>2016</v>
      </c>
      <c r="B3">
        <f>'Historical responsibility C+T'!C31</f>
        <v>52.103584601349105</v>
      </c>
    </row>
    <row r="4" spans="1:7">
      <c r="A4">
        <v>2017</v>
      </c>
      <c r="B4">
        <f>'Historical responsibility C+T'!C32</f>
        <v>51.856184233007021</v>
      </c>
    </row>
    <row r="5" spans="1:7">
      <c r="A5">
        <v>2018</v>
      </c>
      <c r="B5">
        <f>'Historical responsibility C+T'!C33</f>
        <v>51.689348492196842</v>
      </c>
    </row>
    <row r="6" spans="1:7">
      <c r="A6">
        <v>2019</v>
      </c>
      <c r="B6">
        <f>'Historical responsibility C+T'!C34</f>
        <v>49.867360532303529</v>
      </c>
      <c r="C6">
        <f>$B6</f>
        <v>49.867360532303529</v>
      </c>
      <c r="D6">
        <f t="shared" ref="D6:G6" si="0">$B6</f>
        <v>49.867360532303529</v>
      </c>
      <c r="E6">
        <f t="shared" si="0"/>
        <v>49.867360532303529</v>
      </c>
      <c r="F6">
        <f t="shared" si="0"/>
        <v>49.867360532303529</v>
      </c>
      <c r="G6">
        <f t="shared" si="0"/>
        <v>49.867360532303529</v>
      </c>
    </row>
    <row r="7" spans="1:7">
      <c r="A7">
        <v>2020</v>
      </c>
      <c r="C7">
        <f>C$6-C$6*'Historical responsibility C+T'!$M$81*($A7-$A$6)</f>
        <v>44.073635815925087</v>
      </c>
      <c r="D7">
        <f>D$6-D$6*'Historical responsibility C+T'!$M$80*($A7-$A$6)</f>
        <v>48.019242745239247</v>
      </c>
      <c r="E7">
        <f>F$6-F$6*'Historical responsibility C+T'!$M$77*($A7-$A$6)</f>
        <v>42.55105158506035</v>
      </c>
      <c r="F7">
        <f>F$6-F$6*'Historical responsibility C+T'!$M$78*($A7-$A$6)</f>
        <v>47.010961002233344</v>
      </c>
      <c r="G7">
        <f>G$6-G$6*'Historical responsibility C+T'!$M$79*($A7-$A$6)</f>
        <v>47.895286975911546</v>
      </c>
    </row>
    <row r="8" spans="1:7">
      <c r="A8">
        <v>2021</v>
      </c>
      <c r="C8">
        <f>C$6-C$6*'Historical responsibility C+T'!$M$81*($A8-$A$6)</f>
        <v>38.279911099546645</v>
      </c>
      <c r="D8">
        <f>D$6-D$6*'Historical responsibility C+T'!$M$80*($A8-$A$6)</f>
        <v>46.171124958174971</v>
      </c>
      <c r="E8">
        <f>F$6-F$6*'Historical responsibility C+T'!$M$77*($A8-$A$6)</f>
        <v>35.234742637817163</v>
      </c>
      <c r="F8">
        <f>F$6-F$6*'Historical responsibility C+T'!$M$78*($A8-$A$6)</f>
        <v>44.154561472163159</v>
      </c>
      <c r="G8">
        <f>G$6-G$6*'Historical responsibility C+T'!$M$79*($A8-$A$6)</f>
        <v>45.923213419519563</v>
      </c>
    </row>
    <row r="9" spans="1:7">
      <c r="A9">
        <v>2022</v>
      </c>
      <c r="C9">
        <f>C$6-C$6*'Historical responsibility C+T'!$M$81*($A9-$A$6)</f>
        <v>32.486186383168203</v>
      </c>
      <c r="D9">
        <f>D$6-D$6*'Historical responsibility C+T'!$M$80*($A9-$A$6)</f>
        <v>44.323007171110689</v>
      </c>
      <c r="E9">
        <f>F$6-F$6*'Historical responsibility C+T'!$M$77*($A9-$A$6)</f>
        <v>27.918433690573984</v>
      </c>
      <c r="F9">
        <f>F$6-F$6*'Historical responsibility C+T'!$M$78*($A9-$A$6)</f>
        <v>41.298161942092975</v>
      </c>
      <c r="G9">
        <f>G$6-G$6*'Historical responsibility C+T'!$M$79*($A9-$A$6)</f>
        <v>43.95113986312758</v>
      </c>
    </row>
    <row r="10" spans="1:7">
      <c r="A10">
        <v>2023</v>
      </c>
      <c r="C10">
        <f>C$6-C$6*'Historical responsibility C+T'!$M$81*($A10-$A$6)</f>
        <v>26.692461666789757</v>
      </c>
      <c r="D10">
        <f>D$6-D$6*'Historical responsibility C+T'!$M$80*($A10-$A$6)</f>
        <v>42.474889384046413</v>
      </c>
      <c r="F10">
        <f>F$6-F$6*'Historical responsibility C+T'!$M$78*($A10-$A$6)</f>
        <v>38.44176241202279</v>
      </c>
      <c r="G10">
        <f>G$6-G$6*'Historical responsibility C+T'!$M$79*($A10-$A$6)</f>
        <v>41.979066306735596</v>
      </c>
    </row>
    <row r="11" spans="1:7">
      <c r="A11">
        <v>2024</v>
      </c>
      <c r="C11">
        <f>C$6-C$6*'Historical responsibility C+T'!$M$81*($A11-$A$6)</f>
        <v>20.898736950411315</v>
      </c>
      <c r="D11">
        <f>D$6-D$6*'Historical responsibility C+T'!$M$80*($A11-$A$6)</f>
        <v>40.626771596982131</v>
      </c>
      <c r="F11">
        <f>F$6-F$6*'Historical responsibility C+T'!$M$78*($A11-$A$6)</f>
        <v>35.585362881952605</v>
      </c>
      <c r="G11">
        <f>G$6-G$6*'Historical responsibility C+T'!$M$79*($A11-$A$6)</f>
        <v>40.006992750343613</v>
      </c>
    </row>
    <row r="12" spans="1:7">
      <c r="A12">
        <v>2025</v>
      </c>
      <c r="C12">
        <f>C$6-C$6*'Historical responsibility C+T'!$M$81*($A12-$A$6)</f>
        <v>15.10501223403287</v>
      </c>
      <c r="D12">
        <f>D$6-D$6*'Historical responsibility C+T'!$M$80*($A12-$A$6)</f>
        <v>38.778653809917856</v>
      </c>
      <c r="F12">
        <f>F$6-F$6*'Historical responsibility C+T'!$M$78*($A12-$A$6)</f>
        <v>32.728963351882427</v>
      </c>
      <c r="G12">
        <f>G$6-G$6*'Historical responsibility C+T'!$M$79*($A12-$A$6)</f>
        <v>38.034919193951623</v>
      </c>
    </row>
    <row r="13" spans="1:7">
      <c r="A13">
        <v>2026</v>
      </c>
      <c r="C13">
        <f>C$6-C$6*'Historical responsibility C+T'!$M$81*($A13-$A$6)</f>
        <v>9.3112875176544279</v>
      </c>
      <c r="D13">
        <f>D$6-D$6*'Historical responsibility C+T'!$M$80*($A13-$A$6)</f>
        <v>36.930536022853573</v>
      </c>
      <c r="F13">
        <f>F$6-F$6*'Historical responsibility C+T'!$M$78*($A13-$A$6)</f>
        <v>29.872563821812239</v>
      </c>
      <c r="G13">
        <f>G$6-G$6*'Historical responsibility C+T'!$M$79*($A13-$A$6)</f>
        <v>36.062845637559647</v>
      </c>
    </row>
    <row r="14" spans="1:7">
      <c r="A14">
        <v>2027</v>
      </c>
      <c r="C14">
        <f>C$6-C$6*'Historical responsibility C+T'!$M$81*($A14-$A$6)</f>
        <v>3.5175628012759859</v>
      </c>
      <c r="D14">
        <f>D$6-D$6*'Historical responsibility C+T'!$M$80*($A14-$A$6)</f>
        <v>35.082418235789298</v>
      </c>
      <c r="F14">
        <f>F$6-F$6*'Historical responsibility C+T'!$M$78*($A14-$A$6)</f>
        <v>27.016164291742054</v>
      </c>
      <c r="G14">
        <f>G$6-G$6*'Historical responsibility C+T'!$M$79*($A14-$A$6)</f>
        <v>34.090772081167657</v>
      </c>
    </row>
    <row r="15" spans="1:7">
      <c r="A15">
        <v>2028</v>
      </c>
      <c r="D15">
        <f>D$6-D$6*'Historical responsibility C+T'!$M$80*($A15-$A$6)</f>
        <v>33.234300448725016</v>
      </c>
      <c r="F15">
        <f>F$6-F$6*'Historical responsibility C+T'!$M$78*($A15-$A$6)</f>
        <v>24.15976476167187</v>
      </c>
      <c r="G15">
        <f>G$6-G$6*'Historical responsibility C+T'!$M$79*($A15-$A$6)</f>
        <v>32.118698524775681</v>
      </c>
    </row>
    <row r="16" spans="1:7">
      <c r="A16">
        <v>2029</v>
      </c>
      <c r="D16">
        <f>D$6-D$6*'Historical responsibility C+T'!$M$80*($A16-$A$6)</f>
        <v>31.386182661660737</v>
      </c>
      <c r="F16">
        <f>F$6-F$6*'Historical responsibility C+T'!$M$78*($A16-$A$6)</f>
        <v>21.303365231601685</v>
      </c>
      <c r="G16">
        <f>G$6-G$6*'Historical responsibility C+T'!$M$79*($A16-$A$6)</f>
        <v>30.146624968383694</v>
      </c>
    </row>
    <row r="17" spans="1:7">
      <c r="A17">
        <v>2030</v>
      </c>
      <c r="D17">
        <f>D$6-D$6*'Historical responsibility C+T'!$M$80*($A17-$A$6)</f>
        <v>29.538064874596458</v>
      </c>
      <c r="F17">
        <f>F$6-F$6*'Historical responsibility C+T'!$M$78*($A17-$A$6)</f>
        <v>18.4469657015315</v>
      </c>
      <c r="G17">
        <f>G$6-G$6*'Historical responsibility C+T'!$M$79*($A17-$A$6)</f>
        <v>28.174551411991711</v>
      </c>
    </row>
    <row r="18" spans="1:7">
      <c r="A18">
        <v>2031</v>
      </c>
      <c r="D18">
        <f>D$6-D$6*'Historical responsibility C+T'!$M$80*($A18-$A$6)</f>
        <v>27.689947087532179</v>
      </c>
      <c r="F18">
        <f>F$6-F$6*'Historical responsibility C+T'!$M$78*($A18-$A$6)</f>
        <v>15.590566171461319</v>
      </c>
      <c r="G18">
        <f>G$6-G$6*'Historical responsibility C+T'!$M$79*($A18-$A$6)</f>
        <v>26.202477855599724</v>
      </c>
    </row>
    <row r="19" spans="1:7">
      <c r="A19">
        <v>2032</v>
      </c>
      <c r="D19">
        <f>D$6-D$6*'Historical responsibility C+T'!$M$80*($A19-$A$6)</f>
        <v>25.8418293004679</v>
      </c>
      <c r="F19">
        <f>F$6-F$6*'Historical responsibility C+T'!$M$78*($A19-$A$6)</f>
        <v>12.734166641391134</v>
      </c>
      <c r="G19">
        <f>G$6-G$6*'Historical responsibility C+T'!$M$79*($A19-$A$6)</f>
        <v>24.230404299207741</v>
      </c>
    </row>
    <row r="20" spans="1:7">
      <c r="A20">
        <v>2033</v>
      </c>
      <c r="D20">
        <f>D$6-D$6*'Historical responsibility C+T'!$M$80*($A20-$A$6)</f>
        <v>23.993711513403621</v>
      </c>
      <c r="F20">
        <f>F$6-F$6*'Historical responsibility C+T'!$M$78*($A20-$A$6)</f>
        <v>9.8777671113209493</v>
      </c>
      <c r="G20">
        <f>G$6-G$6*'Historical responsibility C+T'!$M$79*($A20-$A$6)</f>
        <v>22.258330742815758</v>
      </c>
    </row>
    <row r="21" spans="1:7">
      <c r="A21">
        <v>2034</v>
      </c>
      <c r="D21">
        <f>D$6-D$6*'Historical responsibility C+T'!$M$80*($A21-$A$6)</f>
        <v>22.145593726339342</v>
      </c>
      <c r="G21">
        <f>G$6-G$6*'Historical responsibility C+T'!$M$79*($A21-$A$6)</f>
        <v>20.286257186423775</v>
      </c>
    </row>
    <row r="22" spans="1:7">
      <c r="A22">
        <v>2035</v>
      </c>
      <c r="D22">
        <f>D$6-D$6*'Historical responsibility C+T'!$M$80*($A22-$A$6)</f>
        <v>20.297475939275063</v>
      </c>
      <c r="G22">
        <f>G$6-G$6*'Historical responsibility C+T'!$M$79*($A22-$A$6)</f>
        <v>18.314183630031792</v>
      </c>
    </row>
    <row r="23" spans="1:7">
      <c r="A23">
        <v>2036</v>
      </c>
      <c r="D23">
        <f>D$6-D$6*'Historical responsibility C+T'!$M$80*($A23-$A$6)</f>
        <v>18.449358152210785</v>
      </c>
      <c r="G23">
        <f>G$6-G$6*'Historical responsibility C+T'!$M$79*($A23-$A$6)</f>
        <v>16.342110073639809</v>
      </c>
    </row>
    <row r="24" spans="1:7">
      <c r="A24">
        <v>2037</v>
      </c>
      <c r="D24">
        <f>D$6-D$6*'Historical responsibility C+T'!$M$80*($A24-$A$6)</f>
        <v>16.601240365146502</v>
      </c>
      <c r="G24">
        <f>G$6-G$6*'Historical responsibility C+T'!$M$79*($A24-$A$6)</f>
        <v>14.370036517247826</v>
      </c>
    </row>
    <row r="25" spans="1:7">
      <c r="A25">
        <v>2038</v>
      </c>
      <c r="D25">
        <f>D$6-D$6*'Historical responsibility C+T'!$M$80*($A25-$A$6)</f>
        <v>14.753122578082227</v>
      </c>
      <c r="G25">
        <f>G$6-G$6*'Historical responsibility C+T'!$M$79*($A25-$A$6)</f>
        <v>12.397962960855843</v>
      </c>
    </row>
    <row r="26" spans="1:7">
      <c r="A26">
        <v>2039</v>
      </c>
      <c r="D26">
        <f>D$6-D$6*'Historical responsibility C+T'!$M$80*($A26-$A$6)</f>
        <v>12.905004791017944</v>
      </c>
      <c r="G26">
        <f>G$6-G$6*'Historical responsibility C+T'!$M$79*($A26-$A$6)</f>
        <v>10.425889404463859</v>
      </c>
    </row>
    <row r="27" spans="1:7">
      <c r="A27">
        <v>2040</v>
      </c>
      <c r="D27">
        <f>D$6-D$6*'Historical responsibility C+T'!$M$80*($A27-$A$6)</f>
        <v>11.056887003953669</v>
      </c>
      <c r="G27">
        <f>G$6-G$6*'Historical responsibility C+T'!$M$79*($A27-$A$6)</f>
        <v>8.4538158480718764</v>
      </c>
    </row>
    <row r="28" spans="1:7">
      <c r="A28">
        <v>2041</v>
      </c>
      <c r="D28">
        <f>D$6-D$6*'Historical responsibility C+T'!$M$80*($A28-$A$6)</f>
        <v>9.2087692168893867</v>
      </c>
      <c r="G28">
        <f>G$6-G$6*'Historical responsibility C+T'!$M$79*($A28-$A$6)</f>
        <v>6.4817422916798932</v>
      </c>
    </row>
    <row r="29" spans="1:7">
      <c r="A29">
        <v>2042</v>
      </c>
      <c r="D29">
        <f>D$6-D$6*'Historical responsibility C+T'!$M$80*($A29-$A$6)</f>
        <v>7.3606514298251113</v>
      </c>
      <c r="G29">
        <f>G$6-G$6*'Historical responsibility C+T'!$M$79*($A29-$A$6)</f>
        <v>4.5096687352879101</v>
      </c>
    </row>
    <row r="30" spans="1:7">
      <c r="A30">
        <v>2043</v>
      </c>
      <c r="D30">
        <f>D$6-D$6*'Historical responsibility C+T'!$M$80*($A30-$A$6)</f>
        <v>5.5125336427608289</v>
      </c>
    </row>
    <row r="31" spans="1:7">
      <c r="A31">
        <v>2044</v>
      </c>
      <c r="D31">
        <f>D$6-D$6*'Historical responsibility C+T'!$M$80*($A31-$A$6)</f>
        <v>3.6644158556965536</v>
      </c>
    </row>
    <row r="32" spans="1:7">
      <c r="A32">
        <v>2045</v>
      </c>
      <c r="D32">
        <f>D$6-D$6*'Historical responsibility C+T'!$M$80*($A32-$A$6)</f>
        <v>1.8162980686322712</v>
      </c>
    </row>
    <row r="33" spans="1:1">
      <c r="A33">
        <v>2046</v>
      </c>
    </row>
    <row r="34" spans="1:1">
      <c r="A34">
        <v>2047</v>
      </c>
    </row>
    <row r="35" spans="1:1">
      <c r="A35">
        <v>2048</v>
      </c>
    </row>
    <row r="36" spans="1:1">
      <c r="A36">
        <v>2049</v>
      </c>
    </row>
    <row r="37" spans="1:1">
      <c r="A37">
        <v>2050</v>
      </c>
    </row>
    <row r="38" spans="1:1">
      <c r="A38">
        <v>2051</v>
      </c>
    </row>
    <row r="39" spans="1:1">
      <c r="A39">
        <v>2052</v>
      </c>
    </row>
    <row r="40" spans="1:1">
      <c r="A40">
        <v>2053</v>
      </c>
    </row>
    <row r="41" spans="1:1">
      <c r="A41">
        <v>2054</v>
      </c>
    </row>
    <row r="42" spans="1:1">
      <c r="A42">
        <v>2055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1F04-5FB5-B846-84CA-3061F41CA983}">
  <dimension ref="A1:Y69"/>
  <sheetViews>
    <sheetView workbookViewId="0">
      <selection activeCell="D17" sqref="D17"/>
    </sheetView>
  </sheetViews>
  <sheetFormatPr baseColWidth="10" defaultRowHeight="15"/>
  <sheetData>
    <row r="1" spans="1:25" ht="16">
      <c r="A1" s="51" t="s">
        <v>61</v>
      </c>
      <c r="B1" s="51" t="s">
        <v>62</v>
      </c>
      <c r="C1" s="51" t="s">
        <v>63</v>
      </c>
      <c r="D1" s="51" t="s">
        <v>64</v>
      </c>
      <c r="E1" s="51" t="s">
        <v>65</v>
      </c>
      <c r="F1" s="51">
        <v>2005</v>
      </c>
      <c r="G1" s="51">
        <v>2010</v>
      </c>
      <c r="H1" s="51">
        <v>2015</v>
      </c>
      <c r="I1" s="51">
        <v>2020</v>
      </c>
      <c r="J1" s="51">
        <v>2025</v>
      </c>
      <c r="K1" s="51">
        <v>2030</v>
      </c>
      <c r="L1" s="51">
        <v>2035</v>
      </c>
      <c r="M1" s="51">
        <v>2040</v>
      </c>
      <c r="N1" s="51">
        <v>2045</v>
      </c>
      <c r="O1" s="51">
        <v>2050</v>
      </c>
      <c r="P1" s="51">
        <v>2055</v>
      </c>
      <c r="Q1" s="51">
        <v>2060</v>
      </c>
      <c r="R1" s="51">
        <v>2065</v>
      </c>
      <c r="S1" s="51">
        <v>2070</v>
      </c>
      <c r="T1" s="51">
        <v>2075</v>
      </c>
      <c r="U1" s="51">
        <v>2080</v>
      </c>
      <c r="V1" s="51">
        <v>2085</v>
      </c>
      <c r="W1" s="51">
        <v>2090</v>
      </c>
      <c r="X1" s="51">
        <v>2095</v>
      </c>
      <c r="Y1" s="51">
        <v>2100</v>
      </c>
    </row>
    <row r="2" spans="1:25" ht="16">
      <c r="A2" s="51" t="s">
        <v>66</v>
      </c>
      <c r="B2" s="51" t="s">
        <v>67</v>
      </c>
      <c r="C2" s="51" t="s">
        <v>68</v>
      </c>
      <c r="D2" s="51" t="s">
        <v>69</v>
      </c>
      <c r="E2" s="51" t="s">
        <v>70</v>
      </c>
      <c r="F2" s="51">
        <v>33205.426399999997</v>
      </c>
      <c r="G2" s="51">
        <v>37640.729399999997</v>
      </c>
      <c r="H2" s="51">
        <v>40369.946799999998</v>
      </c>
      <c r="I2" s="51">
        <v>42883.990700000002</v>
      </c>
      <c r="J2" s="51">
        <v>31826.951799999999</v>
      </c>
      <c r="K2" s="51">
        <v>20170.559399999998</v>
      </c>
      <c r="L2" s="51">
        <v>13519.938</v>
      </c>
      <c r="M2" s="51">
        <v>8468.9326000000001</v>
      </c>
      <c r="N2" s="51">
        <v>4583.7033000000001</v>
      </c>
      <c r="O2" s="51">
        <v>2324.0504000000001</v>
      </c>
      <c r="P2" s="51">
        <v>885.0317</v>
      </c>
      <c r="Q2" s="51">
        <v>-64.941500000000005</v>
      </c>
      <c r="R2" s="51"/>
      <c r="S2" s="51">
        <v>-945.24030000000005</v>
      </c>
      <c r="T2" s="51"/>
      <c r="U2" s="51">
        <v>-1269.17</v>
      </c>
      <c r="V2" s="51"/>
      <c r="W2" s="51">
        <v>-1572.1362999999999</v>
      </c>
      <c r="X2" s="51"/>
      <c r="Y2" s="51">
        <v>-1711.9883</v>
      </c>
    </row>
    <row r="3" spans="1:25" ht="16">
      <c r="A3" s="51" t="s">
        <v>71</v>
      </c>
      <c r="B3" s="51" t="s">
        <v>72</v>
      </c>
      <c r="C3" s="51" t="s">
        <v>68</v>
      </c>
      <c r="D3" s="51" t="s">
        <v>69</v>
      </c>
      <c r="E3" s="51" t="s">
        <v>70</v>
      </c>
      <c r="F3" s="51">
        <v>33082.099199999997</v>
      </c>
      <c r="G3" s="51">
        <v>35938.951999999997</v>
      </c>
      <c r="H3" s="51">
        <v>38655.981699999997</v>
      </c>
      <c r="I3" s="51">
        <v>39163.2788</v>
      </c>
      <c r="J3" s="51">
        <v>37075.664900000003</v>
      </c>
      <c r="K3" s="51">
        <v>33997.5285</v>
      </c>
      <c r="L3" s="51">
        <v>25757.711500000001</v>
      </c>
      <c r="M3" s="51">
        <v>18878.679100000001</v>
      </c>
      <c r="N3" s="51">
        <v>14460.5947</v>
      </c>
      <c r="O3" s="51">
        <v>10856.878699999999</v>
      </c>
      <c r="P3" s="51">
        <v>8462.68966</v>
      </c>
      <c r="Q3" s="51">
        <v>6484.6724599999998</v>
      </c>
      <c r="R3" s="51">
        <v>4505.9846799999996</v>
      </c>
      <c r="S3" s="51">
        <v>2304.4738600000001</v>
      </c>
      <c r="T3" s="51">
        <v>-366.91575</v>
      </c>
      <c r="U3" s="51">
        <v>-2660.5268999999998</v>
      </c>
      <c r="V3" s="51">
        <v>-3723.2085000000002</v>
      </c>
      <c r="W3" s="51">
        <v>-4588.9139999999998</v>
      </c>
      <c r="X3" s="51">
        <v>-5147.6688999999997</v>
      </c>
      <c r="Y3" s="51">
        <v>-5678.9996000000001</v>
      </c>
    </row>
    <row r="4" spans="1:25" ht="16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 ht="16">
      <c r="A5" s="51"/>
      <c r="B5" s="51"/>
      <c r="C5" s="51" t="s">
        <v>61</v>
      </c>
      <c r="D5" s="51" t="s">
        <v>66</v>
      </c>
      <c r="E5" s="51" t="s">
        <v>71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ht="16">
      <c r="A6" s="51"/>
      <c r="B6" s="51"/>
      <c r="C6" s="51" t="s">
        <v>62</v>
      </c>
      <c r="D6" s="51" t="s">
        <v>67</v>
      </c>
      <c r="E6" s="51" t="s">
        <v>72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 spans="1:25" ht="16">
      <c r="A7" s="51"/>
      <c r="B7" s="51"/>
      <c r="C7" s="51" t="s">
        <v>63</v>
      </c>
      <c r="D7" s="51" t="s">
        <v>68</v>
      </c>
      <c r="E7" s="51" t="s">
        <v>68</v>
      </c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</row>
    <row r="8" spans="1:25" ht="16">
      <c r="A8" s="51"/>
      <c r="B8" s="51"/>
      <c r="C8" s="51" t="s">
        <v>64</v>
      </c>
      <c r="D8" s="51" t="s">
        <v>69</v>
      </c>
      <c r="E8" s="51" t="s">
        <v>69</v>
      </c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</row>
    <row r="9" spans="1:25" ht="16">
      <c r="A9" s="51"/>
      <c r="B9" s="51"/>
      <c r="C9" s="51" t="s">
        <v>65</v>
      </c>
      <c r="D9" s="51" t="s">
        <v>70</v>
      </c>
      <c r="E9" s="51" t="s">
        <v>70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 spans="1:25" ht="16">
      <c r="A10" s="51"/>
      <c r="B10" s="51"/>
      <c r="C10" s="51">
        <v>2005</v>
      </c>
      <c r="D10" s="51">
        <v>33205.426399999997</v>
      </c>
      <c r="E10" s="51">
        <v>33082.099199999997</v>
      </c>
      <c r="F10" s="51">
        <v>9056.0253799999991</v>
      </c>
      <c r="G10" s="51">
        <v>9022.3906900000002</v>
      </c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</row>
    <row r="11" spans="1:25" ht="16">
      <c r="A11" s="51"/>
      <c r="B11" s="51"/>
      <c r="C11" s="51">
        <v>2010</v>
      </c>
      <c r="D11" s="51">
        <v>37640.729399999997</v>
      </c>
      <c r="E11" s="51">
        <v>35938.951999999997</v>
      </c>
      <c r="F11" s="51">
        <v>10265.6535</v>
      </c>
      <c r="G11" s="51">
        <v>9801.5323599999992</v>
      </c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</row>
    <row r="12" spans="1:25" ht="16">
      <c r="A12" s="51"/>
      <c r="B12" s="51"/>
      <c r="C12" s="51">
        <v>2015</v>
      </c>
      <c r="D12" s="51">
        <v>40369.946799999998</v>
      </c>
      <c r="E12" s="51">
        <v>38655.981699999997</v>
      </c>
      <c r="F12" s="51">
        <v>11009.985500000001</v>
      </c>
      <c r="G12" s="51">
        <v>10542.540499999999</v>
      </c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</row>
    <row r="13" spans="1:25" ht="16">
      <c r="A13" s="51"/>
      <c r="B13" s="51"/>
      <c r="C13" s="51">
        <v>2020</v>
      </c>
      <c r="D13" s="51">
        <v>42883.990700000002</v>
      </c>
      <c r="E13" s="51">
        <v>39163.2788</v>
      </c>
      <c r="F13" s="51">
        <v>11695.6338</v>
      </c>
      <c r="G13" s="51">
        <v>10680.894200000001</v>
      </c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 spans="1:25" ht="16">
      <c r="A14" s="51"/>
      <c r="B14" s="51"/>
      <c r="C14" s="51"/>
      <c r="D14" s="51">
        <v>40672.582900000001</v>
      </c>
      <c r="E14" s="51">
        <v>38745.756000000001</v>
      </c>
      <c r="F14" s="51">
        <v>11092.5226</v>
      </c>
      <c r="G14" s="51">
        <v>10567.0244</v>
      </c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</row>
    <row r="15" spans="1:25" ht="16">
      <c r="A15" s="51"/>
      <c r="B15" s="51"/>
      <c r="C15" s="51"/>
      <c r="D15" s="51">
        <v>38461.1751</v>
      </c>
      <c r="E15" s="51">
        <v>38328.233200000002</v>
      </c>
      <c r="F15" s="51">
        <v>10489.411400000001</v>
      </c>
      <c r="G15" s="51">
        <v>10453.154500000001</v>
      </c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</row>
    <row r="16" spans="1:25" ht="16">
      <c r="A16" s="51"/>
      <c r="B16" s="51"/>
      <c r="C16" s="51"/>
      <c r="D16" s="51">
        <v>36249.767399999997</v>
      </c>
      <c r="E16" s="51">
        <v>37910.710500000001</v>
      </c>
      <c r="F16" s="51">
        <v>9886.3001899999999</v>
      </c>
      <c r="G16" s="51">
        <v>10339.2847</v>
      </c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</row>
    <row r="17" spans="1:25" ht="16">
      <c r="A17" s="51"/>
      <c r="B17" s="51"/>
      <c r="C17" s="51"/>
      <c r="D17" s="51">
        <v>34038.359600000003</v>
      </c>
      <c r="E17" s="51">
        <v>37493.187700000002</v>
      </c>
      <c r="F17" s="51">
        <v>9283.1889800000008</v>
      </c>
      <c r="G17" s="51">
        <v>10225.4148</v>
      </c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</row>
    <row r="18" spans="1:25" ht="16">
      <c r="A18" s="51"/>
      <c r="B18" s="51"/>
      <c r="C18" s="51">
        <v>2025</v>
      </c>
      <c r="D18" s="51">
        <v>31826.951799999999</v>
      </c>
      <c r="E18" s="51">
        <v>37075.664900000003</v>
      </c>
      <c r="F18" s="51">
        <v>8680.0777600000001</v>
      </c>
      <c r="G18" s="51">
        <v>10111.545</v>
      </c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</row>
    <row r="19" spans="1:25" ht="16">
      <c r="A19" s="51"/>
      <c r="B19" s="51"/>
      <c r="C19" s="51"/>
      <c r="D19" s="51">
        <v>29495.673299999999</v>
      </c>
      <c r="E19" s="51">
        <v>36460.037600000003</v>
      </c>
      <c r="F19" s="51">
        <v>8044.2745400000003</v>
      </c>
      <c r="G19" s="51">
        <v>9943.6466199999995</v>
      </c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</row>
    <row r="20" spans="1:25" ht="16">
      <c r="A20" s="51"/>
      <c r="B20" s="51"/>
      <c r="C20" s="51"/>
      <c r="D20" s="51">
        <v>27164.394799999998</v>
      </c>
      <c r="E20" s="51">
        <v>35844.410300000003</v>
      </c>
      <c r="F20" s="51">
        <v>7408.4713199999997</v>
      </c>
      <c r="G20" s="51">
        <v>9775.74827</v>
      </c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</row>
    <row r="21" spans="1:25" ht="16">
      <c r="A21" s="51"/>
      <c r="B21" s="51"/>
      <c r="C21" s="51"/>
      <c r="D21" s="51">
        <v>24833.116399999999</v>
      </c>
      <c r="E21" s="51">
        <v>35228.783000000003</v>
      </c>
      <c r="F21" s="51">
        <v>6772.6680999999999</v>
      </c>
      <c r="G21" s="51">
        <v>9607.8499200000006</v>
      </c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</row>
    <row r="22" spans="1:25" ht="16">
      <c r="A22" s="51"/>
      <c r="B22" s="51"/>
      <c r="C22" s="51"/>
      <c r="D22" s="51">
        <v>22501.837899999999</v>
      </c>
      <c r="E22" s="51">
        <v>34613.155700000003</v>
      </c>
      <c r="F22" s="51">
        <v>6136.8648800000001</v>
      </c>
      <c r="G22" s="51">
        <v>9439.9515699999993</v>
      </c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</row>
    <row r="23" spans="1:25" ht="16">
      <c r="A23" s="51"/>
      <c r="B23" s="51"/>
      <c r="C23" s="51">
        <v>2030</v>
      </c>
      <c r="D23" s="51">
        <v>20170.559399999998</v>
      </c>
      <c r="E23" s="51">
        <v>33997.5285</v>
      </c>
      <c r="F23" s="51">
        <v>5501.0616499999996</v>
      </c>
      <c r="G23" s="51">
        <v>9272.0532199999998</v>
      </c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</row>
    <row r="24" spans="1:25" ht="16">
      <c r="A24" s="51"/>
      <c r="B24" s="51"/>
      <c r="C24" s="51"/>
      <c r="D24" s="51">
        <v>18840.435099999999</v>
      </c>
      <c r="E24" s="51">
        <v>32349.5651</v>
      </c>
      <c r="F24" s="51">
        <v>5138.3004899999996</v>
      </c>
      <c r="G24" s="51">
        <v>8822.6086500000001</v>
      </c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</row>
    <row r="25" spans="1:25" ht="16">
      <c r="A25" s="51"/>
      <c r="B25" s="51"/>
      <c r="C25" s="51"/>
      <c r="D25" s="51">
        <v>17510.310799999999</v>
      </c>
      <c r="E25" s="51">
        <v>30701.601699999999</v>
      </c>
      <c r="F25" s="51">
        <v>4775.5393199999999</v>
      </c>
      <c r="G25" s="51">
        <v>8373.1640900000002</v>
      </c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</row>
    <row r="26" spans="1:25" ht="16">
      <c r="A26" s="51"/>
      <c r="B26" s="51"/>
      <c r="C26" s="51"/>
      <c r="D26" s="51">
        <v>16180.186600000001</v>
      </c>
      <c r="E26" s="51">
        <v>29053.638299999999</v>
      </c>
      <c r="F26" s="51">
        <v>4412.7781500000001</v>
      </c>
      <c r="G26" s="51">
        <v>7923.7195300000003</v>
      </c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</row>
    <row r="27" spans="1:25" ht="16">
      <c r="A27" s="51"/>
      <c r="B27" s="51"/>
      <c r="C27" s="51"/>
      <c r="D27" s="51">
        <v>14850.0623</v>
      </c>
      <c r="E27" s="51">
        <v>27405.674900000002</v>
      </c>
      <c r="F27" s="51">
        <v>4050.0169900000001</v>
      </c>
      <c r="G27" s="51">
        <v>7474.2749700000004</v>
      </c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</row>
    <row r="28" spans="1:25" ht="16">
      <c r="A28" s="51"/>
      <c r="B28" s="51"/>
      <c r="C28" s="51">
        <v>2035</v>
      </c>
      <c r="D28" s="51">
        <v>13519.938</v>
      </c>
      <c r="E28" s="51">
        <v>25757.711500000001</v>
      </c>
      <c r="F28" s="51">
        <v>3687.2558199999999</v>
      </c>
      <c r="G28" s="51">
        <v>7024.8303999999998</v>
      </c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</row>
    <row r="29" spans="1:25" ht="16">
      <c r="A29" s="51"/>
      <c r="B29" s="51"/>
      <c r="C29" s="51"/>
      <c r="D29" s="51">
        <v>12509.7369</v>
      </c>
      <c r="E29" s="51">
        <v>24381.904999999999</v>
      </c>
      <c r="F29" s="51">
        <v>3411.7464300000001</v>
      </c>
      <c r="G29" s="51">
        <v>6649.6104599999999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</row>
    <row r="30" spans="1:25" ht="16">
      <c r="A30" s="51"/>
      <c r="B30" s="51"/>
      <c r="C30" s="51"/>
      <c r="D30" s="51">
        <v>11499.5358</v>
      </c>
      <c r="E30" s="51">
        <v>23006.0985</v>
      </c>
      <c r="F30" s="51">
        <v>3136.2370500000002</v>
      </c>
      <c r="G30" s="51">
        <v>6274.3905100000002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</row>
    <row r="31" spans="1:25" ht="16">
      <c r="A31" s="51"/>
      <c r="B31" s="51"/>
      <c r="C31" s="51"/>
      <c r="D31" s="51">
        <v>10489.334800000001</v>
      </c>
      <c r="E31" s="51">
        <v>21630.292099999999</v>
      </c>
      <c r="F31" s="51">
        <v>2860.72766</v>
      </c>
      <c r="G31" s="51">
        <v>5899.1705700000002</v>
      </c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</row>
    <row r="32" spans="1:25" ht="16">
      <c r="A32" s="51"/>
      <c r="B32" s="51"/>
      <c r="C32" s="51"/>
      <c r="D32" s="51">
        <v>9479.1336800000008</v>
      </c>
      <c r="E32" s="51">
        <v>20254.4856</v>
      </c>
      <c r="F32" s="51">
        <v>2585.21828</v>
      </c>
      <c r="G32" s="51">
        <v>5523.9506199999996</v>
      </c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</row>
    <row r="33" spans="1:25" ht="16">
      <c r="A33" s="51"/>
      <c r="B33" s="51"/>
      <c r="C33" s="51">
        <v>2040</v>
      </c>
      <c r="D33" s="51">
        <v>8468.9326000000001</v>
      </c>
      <c r="E33" s="51">
        <v>18878.679100000001</v>
      </c>
      <c r="F33" s="51">
        <v>2309.7088899999999</v>
      </c>
      <c r="G33" s="51">
        <v>5148.7306799999997</v>
      </c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</row>
    <row r="34" spans="1:25" ht="16">
      <c r="A34" s="51"/>
      <c r="B34" s="51"/>
      <c r="C34" s="51"/>
      <c r="D34" s="51">
        <v>7691.8867399999999</v>
      </c>
      <c r="E34" s="51">
        <v>17995.062300000001</v>
      </c>
      <c r="F34" s="51">
        <v>2097.7872900000002</v>
      </c>
      <c r="G34" s="51">
        <v>4907.7442499999997</v>
      </c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</row>
    <row r="35" spans="1:25" ht="16">
      <c r="A35" s="51"/>
      <c r="B35" s="51"/>
      <c r="C35" s="51"/>
      <c r="D35" s="51">
        <v>6914.8408799999997</v>
      </c>
      <c r="E35" s="51">
        <v>17111.445400000001</v>
      </c>
      <c r="F35" s="51">
        <v>1885.8656900000001</v>
      </c>
      <c r="G35" s="51">
        <v>4666.7578199999998</v>
      </c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</row>
    <row r="36" spans="1:25" ht="16">
      <c r="A36" s="51"/>
      <c r="B36" s="51"/>
      <c r="C36" s="51"/>
      <c r="D36" s="51">
        <v>6137.7950199999996</v>
      </c>
      <c r="E36" s="51">
        <v>16227.8285</v>
      </c>
      <c r="F36" s="51">
        <v>1673.9440999999999</v>
      </c>
      <c r="G36" s="51">
        <v>4425.7713999999996</v>
      </c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</row>
    <row r="37" spans="1:25" ht="16">
      <c r="A37" s="51"/>
      <c r="B37" s="51"/>
      <c r="C37" s="51"/>
      <c r="D37" s="51">
        <v>5360.7491600000003</v>
      </c>
      <c r="E37" s="51">
        <v>15344.211600000001</v>
      </c>
      <c r="F37" s="51">
        <v>1462.0225</v>
      </c>
      <c r="G37" s="51">
        <v>4184.7849699999997</v>
      </c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</row>
    <row r="38" spans="1:25" ht="16">
      <c r="A38" s="51"/>
      <c r="B38" s="51"/>
      <c r="C38" s="51">
        <v>2045</v>
      </c>
      <c r="D38" s="51">
        <v>4583.7033000000001</v>
      </c>
      <c r="E38" s="51">
        <v>14460.5947</v>
      </c>
      <c r="F38" s="51">
        <v>1250.1008999999999</v>
      </c>
      <c r="G38" s="51">
        <v>3943.7985399999998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 spans="1:25" ht="16">
      <c r="A39" s="51"/>
      <c r="B39" s="51"/>
      <c r="C39" s="51"/>
      <c r="D39" s="51">
        <v>4131.7727199999999</v>
      </c>
      <c r="E39" s="51">
        <v>13739.851500000001</v>
      </c>
      <c r="F39" s="51">
        <v>1126.8471099999999</v>
      </c>
      <c r="G39" s="51">
        <v>3747.2322199999999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</row>
    <row r="40" spans="1:25" ht="16">
      <c r="A40" s="51"/>
      <c r="B40" s="51"/>
      <c r="C40" s="51"/>
      <c r="D40" s="51">
        <v>3679.8421400000002</v>
      </c>
      <c r="E40" s="51">
        <v>13019.1083</v>
      </c>
      <c r="F40" s="51">
        <v>1003.59331</v>
      </c>
      <c r="G40" s="51">
        <v>3550.6658900000002</v>
      </c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</row>
    <row r="41" spans="1:25" ht="16">
      <c r="A41" s="51"/>
      <c r="B41" s="51"/>
      <c r="C41" s="51"/>
      <c r="D41" s="51">
        <v>3227.91156</v>
      </c>
      <c r="E41" s="51">
        <v>12298.365100000001</v>
      </c>
      <c r="F41" s="51">
        <v>880.339516</v>
      </c>
      <c r="G41" s="51">
        <v>3354.0995600000001</v>
      </c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</row>
    <row r="42" spans="1:25" ht="16">
      <c r="A42" s="51"/>
      <c r="B42" s="51"/>
      <c r="C42" s="51"/>
      <c r="D42" s="51">
        <v>2775.9809799999998</v>
      </c>
      <c r="E42" s="51">
        <v>11577.6219</v>
      </c>
      <c r="F42" s="51">
        <v>757.08572200000003</v>
      </c>
      <c r="G42" s="51">
        <v>3157.53323</v>
      </c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</row>
    <row r="43" spans="1:25" ht="16">
      <c r="A43" s="51"/>
      <c r="B43" s="51"/>
      <c r="C43" s="51">
        <v>2050</v>
      </c>
      <c r="D43" s="51">
        <v>2324.0504000000001</v>
      </c>
      <c r="E43" s="51">
        <v>10856.878699999999</v>
      </c>
      <c r="F43" s="51">
        <v>633.83192699999995</v>
      </c>
      <c r="G43" s="51">
        <v>2960.9669100000001</v>
      </c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</row>
    <row r="44" spans="1:25" ht="16">
      <c r="A44" s="51"/>
      <c r="B44" s="51"/>
      <c r="C44" s="51"/>
      <c r="D44" s="51">
        <v>2036.24666</v>
      </c>
      <c r="E44" s="51">
        <v>10378.0409</v>
      </c>
      <c r="F44" s="51">
        <v>555.33999800000004</v>
      </c>
      <c r="G44" s="51">
        <v>2830.3747800000001</v>
      </c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</row>
    <row r="45" spans="1:25" ht="16">
      <c r="A45" s="51"/>
      <c r="B45" s="51"/>
      <c r="C45" s="51"/>
      <c r="D45" s="51">
        <v>1748.44292</v>
      </c>
      <c r="E45" s="51">
        <v>9899.2030599999998</v>
      </c>
      <c r="F45" s="51">
        <v>476.84806900000001</v>
      </c>
      <c r="G45" s="51">
        <v>2699.7826500000001</v>
      </c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spans="1:25" ht="16">
      <c r="A46" s="51"/>
      <c r="B46" s="51"/>
      <c r="C46" s="51"/>
      <c r="D46" s="51">
        <v>1460.6391799999999</v>
      </c>
      <c r="E46" s="51">
        <v>9420.3652600000005</v>
      </c>
      <c r="F46" s="51">
        <v>398.35613999999998</v>
      </c>
      <c r="G46" s="51">
        <v>2569.1905200000001</v>
      </c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</row>
    <row r="47" spans="1:25" ht="16">
      <c r="A47" s="51"/>
      <c r="B47" s="51"/>
      <c r="C47" s="51"/>
      <c r="D47" s="51">
        <v>1172.8354400000001</v>
      </c>
      <c r="E47" s="51">
        <v>8941.5274599999993</v>
      </c>
      <c r="F47" s="51">
        <v>319.86421100000001</v>
      </c>
      <c r="G47" s="51">
        <v>2438.5983999999999</v>
      </c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</row>
    <row r="48" spans="1:25" ht="16">
      <c r="A48" s="51"/>
      <c r="B48" s="51"/>
      <c r="C48" s="51">
        <v>2055</v>
      </c>
      <c r="D48" s="51">
        <v>885.0317</v>
      </c>
      <c r="E48" s="51">
        <v>8462.68966</v>
      </c>
      <c r="F48" s="51">
        <v>241.37228200000001</v>
      </c>
      <c r="G48" s="51">
        <v>2308.0062699999999</v>
      </c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</row>
    <row r="49" spans="1:25" ht="16">
      <c r="A49" s="51"/>
      <c r="B49" s="51"/>
      <c r="C49" s="51"/>
      <c r="D49" s="51">
        <v>695.03706</v>
      </c>
      <c r="E49" s="51">
        <v>8067.0862200000001</v>
      </c>
      <c r="F49" s="51">
        <v>189.55556200000001</v>
      </c>
      <c r="G49" s="51">
        <v>2200.1144199999999</v>
      </c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</row>
    <row r="50" spans="1:25" ht="16">
      <c r="A50" s="51"/>
      <c r="B50" s="51"/>
      <c r="C50" s="51"/>
      <c r="D50" s="51">
        <v>505.04241999999999</v>
      </c>
      <c r="E50" s="51">
        <v>7671.4827800000003</v>
      </c>
      <c r="F50" s="51">
        <v>137.73884200000001</v>
      </c>
      <c r="G50" s="51">
        <v>2092.2225800000001</v>
      </c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</row>
    <row r="51" spans="1:25" ht="16">
      <c r="A51" s="51"/>
      <c r="B51" s="51"/>
      <c r="C51" s="51"/>
      <c r="D51" s="51">
        <v>315.04777999999999</v>
      </c>
      <c r="E51" s="51">
        <v>7275.8793400000004</v>
      </c>
      <c r="F51" s="51">
        <v>85.922121799999999</v>
      </c>
      <c r="G51" s="51">
        <v>1984.3307299999999</v>
      </c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</row>
    <row r="52" spans="1:25" ht="16">
      <c r="A52" s="51"/>
      <c r="B52" s="51"/>
      <c r="C52" s="51"/>
      <c r="D52" s="51">
        <v>125.05314</v>
      </c>
      <c r="E52" s="51">
        <v>6880.2758999999996</v>
      </c>
      <c r="F52" s="51">
        <v>34.105401800000003</v>
      </c>
      <c r="G52" s="51">
        <v>1876.4388799999999</v>
      </c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</row>
    <row r="53" spans="1:25" ht="16">
      <c r="A53" s="51"/>
      <c r="B53" s="51"/>
      <c r="C53" s="51">
        <v>2060</v>
      </c>
      <c r="D53" s="51">
        <v>-64.941500000000005</v>
      </c>
      <c r="E53" s="51">
        <v>6484.6724599999998</v>
      </c>
      <c r="F53" s="51">
        <v>-17.711317999999999</v>
      </c>
      <c r="G53" s="51">
        <v>1768.5470299999999</v>
      </c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</row>
    <row r="54" spans="1:25" ht="16">
      <c r="A54" s="51"/>
      <c r="B54" s="51"/>
      <c r="C54" s="51"/>
      <c r="D54" s="51" t="e">
        <v>#VALUE!</v>
      </c>
      <c r="E54" s="51">
        <v>6088.9349000000002</v>
      </c>
      <c r="F54" s="51" t="e">
        <v>#VALUE!</v>
      </c>
      <c r="G54" s="51">
        <v>1660.61861</v>
      </c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</row>
    <row r="55" spans="1:25" ht="16">
      <c r="A55" s="51"/>
      <c r="B55" s="51"/>
      <c r="C55" s="51"/>
      <c r="D55" s="51" t="e">
        <v>#VALUE!</v>
      </c>
      <c r="E55" s="51">
        <v>5693.1973500000004</v>
      </c>
      <c r="F55" s="51" t="e">
        <v>#VALUE!</v>
      </c>
      <c r="G55" s="51">
        <v>1552.69019</v>
      </c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</row>
    <row r="56" spans="1:25" ht="16">
      <c r="A56" s="51"/>
      <c r="B56" s="51"/>
      <c r="C56" s="51"/>
      <c r="D56" s="51" t="e">
        <v>#VALUE!</v>
      </c>
      <c r="E56" s="51">
        <v>5297.4597899999999</v>
      </c>
      <c r="F56" s="51" t="e">
        <v>#VALUE!</v>
      </c>
      <c r="G56" s="51">
        <v>1444.7617600000001</v>
      </c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</row>
    <row r="57" spans="1:25" ht="16">
      <c r="A57" s="51"/>
      <c r="B57" s="51"/>
      <c r="C57" s="51"/>
      <c r="D57" s="51" t="e">
        <v>#VALUE!</v>
      </c>
      <c r="E57" s="51">
        <v>4901.7222400000001</v>
      </c>
      <c r="F57" s="51" t="e">
        <v>#VALUE!</v>
      </c>
      <c r="G57" s="51">
        <v>1336.8333399999999</v>
      </c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</row>
    <row r="58" spans="1:25" ht="16">
      <c r="A58" s="51"/>
      <c r="B58" s="51"/>
      <c r="C58" s="51">
        <v>2065</v>
      </c>
      <c r="D58" s="51"/>
      <c r="E58" s="51">
        <v>4505.9846799999996</v>
      </c>
      <c r="F58" s="51" t="e">
        <v>#VALUE!</v>
      </c>
      <c r="G58" s="51">
        <v>1228.90491</v>
      </c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</row>
    <row r="59" spans="1:25" ht="16">
      <c r="A59" s="51"/>
      <c r="B59" s="51"/>
      <c r="C59" s="51"/>
      <c r="D59" s="51" t="e">
        <v>#VALUE!</v>
      </c>
      <c r="E59" s="51">
        <v>4065.6825199999998</v>
      </c>
      <c r="F59" s="51" t="e">
        <v>#VALUE!</v>
      </c>
      <c r="G59" s="51">
        <v>1108.8225</v>
      </c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</row>
    <row r="60" spans="1:25" ht="16">
      <c r="A60" s="51"/>
      <c r="B60" s="51"/>
      <c r="C60" s="51"/>
      <c r="D60" s="51" t="e">
        <v>#VALUE!</v>
      </c>
      <c r="E60" s="51">
        <v>3625.3803499999999</v>
      </c>
      <c r="F60" s="51" t="e">
        <v>#VALUE!</v>
      </c>
      <c r="G60" s="51">
        <v>988.74009599999999</v>
      </c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</row>
    <row r="61" spans="1:25" ht="16">
      <c r="A61" s="51"/>
      <c r="B61" s="51"/>
      <c r="C61" s="51"/>
      <c r="D61" s="51" t="e">
        <v>#VALUE!</v>
      </c>
      <c r="E61" s="51">
        <v>3185.0781900000002</v>
      </c>
      <c r="F61" s="51" t="e">
        <v>#VALUE!</v>
      </c>
      <c r="G61" s="51">
        <v>868.65768700000001</v>
      </c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</row>
    <row r="62" spans="1:25" ht="16">
      <c r="A62" s="51"/>
      <c r="B62" s="51"/>
      <c r="C62" s="51"/>
      <c r="D62" s="51" t="e">
        <v>#VALUE!</v>
      </c>
      <c r="E62" s="51">
        <v>2744.7760199999998</v>
      </c>
      <c r="F62" s="51" t="e">
        <v>#VALUE!</v>
      </c>
      <c r="G62" s="51">
        <v>748.57527900000002</v>
      </c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</row>
    <row r="63" spans="1:25" ht="16">
      <c r="A63" s="51"/>
      <c r="B63" s="51"/>
      <c r="C63" s="51">
        <v>2070</v>
      </c>
      <c r="D63" s="51">
        <v>-945.24030000000005</v>
      </c>
      <c r="E63" s="51">
        <v>2304.4738600000001</v>
      </c>
      <c r="F63" s="51">
        <v>-257.79280999999997</v>
      </c>
      <c r="G63" s="51">
        <v>628.49287100000004</v>
      </c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</row>
    <row r="64" spans="1:25" ht="16">
      <c r="A64" s="51"/>
      <c r="B64" s="51"/>
      <c r="C64" s="51">
        <v>2075</v>
      </c>
      <c r="D64" s="51"/>
      <c r="E64" s="51">
        <v>-366.91575</v>
      </c>
      <c r="F64" s="51" t="e">
        <v>#VALUE!</v>
      </c>
      <c r="G64" s="51">
        <v>-100.06793</v>
      </c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16">
      <c r="A65" s="51"/>
      <c r="B65" s="51"/>
      <c r="C65" s="51">
        <v>2080</v>
      </c>
      <c r="D65" s="51">
        <v>-1269.17</v>
      </c>
      <c r="E65" s="51">
        <v>-2660.5268999999998</v>
      </c>
      <c r="F65" s="51">
        <v>-346.13727</v>
      </c>
      <c r="G65" s="51">
        <v>-725.59824000000003</v>
      </c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</row>
    <row r="66" spans="1:25" ht="16">
      <c r="A66" s="51"/>
      <c r="B66" s="51"/>
      <c r="C66" s="51">
        <v>2085</v>
      </c>
      <c r="D66" s="51"/>
      <c r="E66" s="51">
        <v>-3723.2085000000002</v>
      </c>
      <c r="F66" s="51" t="e">
        <v>#VALUE!</v>
      </c>
      <c r="G66" s="51">
        <v>-1015.4204999999999</v>
      </c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</row>
    <row r="67" spans="1:25" ht="16">
      <c r="A67" s="51"/>
      <c r="B67" s="51"/>
      <c r="C67" s="51">
        <v>2090</v>
      </c>
      <c r="D67" s="51">
        <v>-1572.1362999999999</v>
      </c>
      <c r="E67" s="51">
        <v>-4588.9139999999998</v>
      </c>
      <c r="F67" s="51">
        <v>-428.76445000000001</v>
      </c>
      <c r="G67" s="51">
        <v>-1251.5219999999999</v>
      </c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</row>
    <row r="68" spans="1:25" ht="16">
      <c r="A68" s="51"/>
      <c r="B68" s="51"/>
      <c r="C68" s="51">
        <v>2095</v>
      </c>
      <c r="D68" s="51"/>
      <c r="E68" s="51">
        <v>-5147.6688999999997</v>
      </c>
      <c r="F68" s="51" t="e">
        <v>#VALUE!</v>
      </c>
      <c r="G68" s="51">
        <v>-1403.9096999999999</v>
      </c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</row>
    <row r="69" spans="1:25" ht="16">
      <c r="A69" s="51"/>
      <c r="B69" s="51"/>
      <c r="C69" s="51">
        <v>2100</v>
      </c>
      <c r="D69" s="51">
        <v>-1711.9883</v>
      </c>
      <c r="E69" s="51">
        <v>-5678.9996000000001</v>
      </c>
      <c r="F69" s="51">
        <v>-466.90589999999997</v>
      </c>
      <c r="G69" s="51">
        <v>-1548.8181</v>
      </c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F418-9DAA-4C9A-897E-245D81C94A34}">
  <dimension ref="B1:N35"/>
  <sheetViews>
    <sheetView topLeftCell="G1" workbookViewId="0">
      <selection activeCell="J1" sqref="J1:J1048576"/>
    </sheetView>
  </sheetViews>
  <sheetFormatPr baseColWidth="10" defaultColWidth="8.83203125" defaultRowHeight="15"/>
  <cols>
    <col min="3" max="3" width="21.33203125" customWidth="1"/>
    <col min="4" max="4" width="22.83203125" customWidth="1"/>
    <col min="5" max="6" width="35.83203125" customWidth="1"/>
    <col min="7" max="8" width="23.83203125" customWidth="1"/>
    <col min="9" max="9" width="21.33203125" customWidth="1"/>
    <col min="10" max="10" width="23.5" customWidth="1"/>
    <col min="15" max="17" width="24" customWidth="1"/>
    <col min="19" max="19" width="21.5" customWidth="1"/>
  </cols>
  <sheetData>
    <row r="1" spans="2:14" ht="48">
      <c r="D1" s="28" t="s">
        <v>24</v>
      </c>
      <c r="E1" s="27" t="s">
        <v>45</v>
      </c>
      <c r="F1" s="26" t="s">
        <v>32</v>
      </c>
      <c r="G1" s="25" t="s">
        <v>44</v>
      </c>
      <c r="H1" s="53"/>
    </row>
    <row r="2" spans="2:14" ht="48">
      <c r="C2" s="20" t="s">
        <v>50</v>
      </c>
      <c r="D2" s="20" t="s">
        <v>51</v>
      </c>
      <c r="E2" s="20" t="s">
        <v>81</v>
      </c>
      <c r="F2" s="20" t="s">
        <v>82</v>
      </c>
      <c r="G2" s="20" t="s">
        <v>83</v>
      </c>
      <c r="H2" s="20" t="s">
        <v>84</v>
      </c>
      <c r="I2" s="20" t="s">
        <v>46</v>
      </c>
      <c r="J2" s="20" t="s">
        <v>47</v>
      </c>
    </row>
    <row r="3" spans="2:14">
      <c r="C3" t="s">
        <v>49</v>
      </c>
      <c r="D3" t="s">
        <v>49</v>
      </c>
      <c r="E3" t="s">
        <v>48</v>
      </c>
      <c r="F3" t="s">
        <v>48</v>
      </c>
      <c r="G3" t="s">
        <v>48</v>
      </c>
      <c r="H3" t="s">
        <v>48</v>
      </c>
      <c r="J3" t="s">
        <v>12</v>
      </c>
      <c r="L3" t="s">
        <v>52</v>
      </c>
    </row>
    <row r="4" spans="2:14">
      <c r="C4" t="s">
        <v>4</v>
      </c>
      <c r="D4" t="s">
        <v>4</v>
      </c>
      <c r="J4" t="s">
        <v>79</v>
      </c>
      <c r="K4" t="s">
        <v>80</v>
      </c>
      <c r="L4" t="s">
        <v>79</v>
      </c>
      <c r="M4" t="s">
        <v>80</v>
      </c>
    </row>
    <row r="5" spans="2:14">
      <c r="B5">
        <v>2020</v>
      </c>
      <c r="C5" s="29">
        <v>44.420086393088553</v>
      </c>
      <c r="D5" s="29">
        <v>13.896544318434112</v>
      </c>
      <c r="E5" s="31">
        <f>'Historical responsibility C'!P35</f>
        <v>4.9316777912179504</v>
      </c>
      <c r="F5" s="31">
        <f>'Historical responsibility C'!Q35</f>
        <v>4.9316777912179504</v>
      </c>
      <c r="G5" s="4">
        <f>E5*D5/C5</f>
        <v>1.542844342611652</v>
      </c>
      <c r="H5" s="4">
        <f>F5*D5/C5</f>
        <v>1.542844342611652</v>
      </c>
      <c r="I5" s="30">
        <f>'Historical responsibility T'!D66</f>
        <v>10379295</v>
      </c>
      <c r="J5" s="4">
        <f>I5*G5/1000000</f>
        <v>16.013636571047407</v>
      </c>
      <c r="K5" s="4">
        <f>I5*H5/1000000</f>
        <v>16.013636571047407</v>
      </c>
      <c r="L5" s="4">
        <f>SUM(J7:J35)</f>
        <v>181.52792874632712</v>
      </c>
      <c r="M5" s="4">
        <f>SUM(K7:K35)</f>
        <v>293.50613494003704</v>
      </c>
      <c r="N5" t="s">
        <v>31</v>
      </c>
    </row>
    <row r="6" spans="2:14">
      <c r="B6">
        <v>2021</v>
      </c>
      <c r="C6" s="29">
        <v>45.965178780088806</v>
      </c>
      <c r="D6" s="29">
        <v>14.389426804327504</v>
      </c>
      <c r="E6" s="31">
        <f>'Historical responsibility C'!P36</f>
        <v>5.2275979989849137</v>
      </c>
      <c r="F6" s="31">
        <f>'Historical responsibility C'!Q36</f>
        <v>4.9799452839216904</v>
      </c>
      <c r="G6" s="4">
        <f t="shared" ref="G6:G35" si="0">E6*D6/C6</f>
        <v>1.6365026910637639</v>
      </c>
      <c r="H6" s="4">
        <f t="shared" ref="H6:H35" si="1">F6*D6/C6</f>
        <v>1.5589748599778788</v>
      </c>
      <c r="I6" s="30">
        <f>'Historical responsibility T'!D67</f>
        <v>10428301</v>
      </c>
      <c r="J6" s="4">
        <f t="shared" ref="J6:J35" si="2">I6*G6/1000000</f>
        <v>17.065942649722942</v>
      </c>
      <c r="K6" s="4">
        <f t="shared" ref="K6:K35" si="3">I6*H6/1000000</f>
        <v>16.257459091282175</v>
      </c>
      <c r="L6" s="4">
        <f>SUM(J5:J35)</f>
        <v>214.60750796709743</v>
      </c>
      <c r="M6" s="4">
        <f>SUM(K5:K35)</f>
        <v>325.77723060236667</v>
      </c>
      <c r="N6" t="s">
        <v>54</v>
      </c>
    </row>
    <row r="7" spans="2:14">
      <c r="B7">
        <v>2022</v>
      </c>
      <c r="C7" s="29">
        <v>47.485318548854458</v>
      </c>
      <c r="D7" s="29">
        <v>14.87374574345505</v>
      </c>
      <c r="E7" s="31">
        <f>'Historical responsibility C'!P37</f>
        <v>4.9018859555295959</v>
      </c>
      <c r="F7" s="31">
        <f>'Historical responsibility C'!Q37</f>
        <v>4.884942470130496</v>
      </c>
      <c r="G7" s="4">
        <f t="shared" si="0"/>
        <v>1.5354094190386198</v>
      </c>
      <c r="H7" s="4">
        <f t="shared" si="1"/>
        <v>1.530102239861231</v>
      </c>
      <c r="I7" s="30">
        <f>'Historical responsibility T'!D68</f>
        <v>10477130</v>
      </c>
      <c r="J7" s="4">
        <f t="shared" si="2"/>
        <v>16.086684086492095</v>
      </c>
      <c r="K7" s="4">
        <f t="shared" si="3"/>
        <v>16.031080080317299</v>
      </c>
    </row>
    <row r="8" spans="2:14">
      <c r="B8">
        <v>2023</v>
      </c>
      <c r="C8" s="29">
        <v>48.981105319638203</v>
      </c>
      <c r="D8" s="29">
        <v>15.349722393676226</v>
      </c>
      <c r="E8" s="31">
        <f>'Historical responsibility C'!P38</f>
        <v>4.5815948687594465</v>
      </c>
      <c r="F8" s="31">
        <f>'Historical responsibility C'!Q38</f>
        <v>4.7915208741161086</v>
      </c>
      <c r="G8" s="4">
        <f t="shared" si="0"/>
        <v>1.4357824082739266</v>
      </c>
      <c r="H8" s="4">
        <f t="shared" si="1"/>
        <v>1.5015691210157114</v>
      </c>
      <c r="I8" s="30">
        <f>'Historical responsibility T'!D69</f>
        <v>10523969</v>
      </c>
      <c r="J8" s="4">
        <f t="shared" si="2"/>
        <v>15.110129555420148</v>
      </c>
      <c r="K8" s="4">
        <f t="shared" si="3"/>
        <v>15.802466880926596</v>
      </c>
    </row>
    <row r="9" spans="2:14">
      <c r="B9">
        <v>2024</v>
      </c>
      <c r="C9" s="29">
        <v>50.453119653245118</v>
      </c>
      <c r="D9" s="29">
        <v>15.817570455698178</v>
      </c>
      <c r="E9" s="31">
        <f>'Historical responsibility C'!P39</f>
        <v>4.2665905253301393</v>
      </c>
      <c r="F9" s="31">
        <f>'Historical responsibility C'!Q39</f>
        <v>4.6996412544485962</v>
      </c>
      <c r="G9" s="4">
        <f t="shared" si="0"/>
        <v>1.3376198876075454</v>
      </c>
      <c r="H9" s="4">
        <f t="shared" si="1"/>
        <v>1.4733857325305182</v>
      </c>
      <c r="I9" s="30">
        <f>'Historical responsibility T'!D70</f>
        <v>10569942</v>
      </c>
      <c r="J9" s="4">
        <f t="shared" si="2"/>
        <v>14.138564630058273</v>
      </c>
      <c r="K9" s="4">
        <f t="shared" si="3"/>
        <v>15.573601736475089</v>
      </c>
    </row>
    <row r="10" spans="2:14">
      <c r="B10">
        <v>2025</v>
      </c>
      <c r="C10" s="29">
        <v>51.90192380233875</v>
      </c>
      <c r="D10" s="29">
        <v>16.277496392991036</v>
      </c>
      <c r="E10" s="31">
        <f>'Historical responsibility C'!P40</f>
        <v>3.956743097179964</v>
      </c>
      <c r="F10" s="31">
        <f>'Historical responsibility C'!Q40</f>
        <v>4.6092658368736297</v>
      </c>
      <c r="G10" s="4">
        <f t="shared" si="0"/>
        <v>1.240914917482054</v>
      </c>
      <c r="H10" s="4">
        <f t="shared" si="1"/>
        <v>1.4455592883180666</v>
      </c>
      <c r="I10" s="30">
        <f>'Historical responsibility T'!D71</f>
        <v>10616595</v>
      </c>
      <c r="J10" s="4">
        <f t="shared" si="2"/>
        <v>13.174291108365386</v>
      </c>
      <c r="K10" s="4">
        <f t="shared" si="3"/>
        <v>15.346917512561145</v>
      </c>
    </row>
    <row r="11" spans="2:14">
      <c r="B11">
        <v>2026</v>
      </c>
      <c r="C11" s="29">
        <v>53.414216696003905</v>
      </c>
      <c r="D11" s="29">
        <v>16.731283716152753</v>
      </c>
      <c r="E11" s="31">
        <f>'Historical responsibility C'!P41</f>
        <v>3.639980951213543</v>
      </c>
      <c r="F11" s="31">
        <f>'Historical responsibility C'!Q41</f>
        <v>4.4994342376582948</v>
      </c>
      <c r="G11" s="4">
        <f t="shared" si="0"/>
        <v>1.1401749905414529</v>
      </c>
      <c r="H11" s="4">
        <f t="shared" si="1"/>
        <v>1.4093871528788038</v>
      </c>
      <c r="I11" s="30">
        <f>'Historical responsibility T'!D72</f>
        <v>10663635</v>
      </c>
      <c r="J11" s="4">
        <f t="shared" si="2"/>
        <v>12.158409935262506</v>
      </c>
      <c r="K11" s="4">
        <f t="shared" si="3"/>
        <v>15.029190171988763</v>
      </c>
    </row>
    <row r="12" spans="2:14">
      <c r="B12">
        <v>2027</v>
      </c>
      <c r="C12" s="29">
        <v>54.905027517477336</v>
      </c>
      <c r="D12" s="29">
        <v>17.178219098659799</v>
      </c>
      <c r="E12" s="31">
        <f>'Historical responsibility C'!P42</f>
        <v>3.3278386049472108</v>
      </c>
      <c r="F12" s="31">
        <f>'Historical responsibility C'!Q42</f>
        <v>4.3912044846995393</v>
      </c>
      <c r="G12" s="4">
        <f t="shared" si="0"/>
        <v>1.0411859034687561</v>
      </c>
      <c r="H12" s="4">
        <f t="shared" si="1"/>
        <v>1.3738827964556501</v>
      </c>
      <c r="I12" s="30">
        <f>'Historical responsibility T'!D73</f>
        <v>10710874</v>
      </c>
      <c r="J12" s="4">
        <f t="shared" si="2"/>
        <v>11.15201102263001</v>
      </c>
      <c r="K12" s="4">
        <f t="shared" si="3"/>
        <v>14.715485523604116</v>
      </c>
    </row>
    <row r="13" spans="2:14">
      <c r="B13">
        <v>2028</v>
      </c>
      <c r="C13" s="29">
        <v>56.374810766901767</v>
      </c>
      <c r="D13" s="29">
        <v>17.618456568483602</v>
      </c>
      <c r="E13" s="31">
        <f>'Historical responsibility C'!P43</f>
        <v>3.0202157242265883</v>
      </c>
      <c r="F13" s="31">
        <f>'Historical responsibility C'!Q43</f>
        <v>4.2845417752559252</v>
      </c>
      <c r="G13" s="4">
        <f t="shared" si="0"/>
        <v>0.94388857081500732</v>
      </c>
      <c r="H13" s="4">
        <f t="shared" si="1"/>
        <v>1.3390202495813848</v>
      </c>
      <c r="I13" s="30">
        <f>'Historical responsibility T'!D74</f>
        <v>10758403</v>
      </c>
      <c r="J13" s="4">
        <f t="shared" si="2"/>
        <v>10.154733631921887</v>
      </c>
      <c r="K13" s="4">
        <f t="shared" si="3"/>
        <v>14.405719470157118</v>
      </c>
    </row>
    <row r="14" spans="2:14">
      <c r="B14">
        <v>2029</v>
      </c>
      <c r="C14" s="29">
        <v>57.824008212950091</v>
      </c>
      <c r="D14" s="29">
        <v>18.052145571309161</v>
      </c>
      <c r="E14" s="31">
        <f>'Historical responsibility C'!P44</f>
        <v>2.7170148594631662</v>
      </c>
      <c r="F14" s="31">
        <f>'Historical responsibility C'!Q44</f>
        <v>4.1794123204326841</v>
      </c>
      <c r="G14" s="4">
        <f t="shared" si="0"/>
        <v>0.84822808515468062</v>
      </c>
      <c r="H14" s="4">
        <f t="shared" si="1"/>
        <v>1.3047756795606718</v>
      </c>
      <c r="I14" s="30">
        <f>'Historical responsibility T'!D75</f>
        <v>10805992</v>
      </c>
      <c r="J14" s="4">
        <f t="shared" si="2"/>
        <v>9.165945902356798</v>
      </c>
      <c r="K14" s="4">
        <f t="shared" si="3"/>
        <v>14.099395555127183</v>
      </c>
    </row>
    <row r="15" spans="2:14">
      <c r="B15">
        <v>2030</v>
      </c>
      <c r="C15" s="29">
        <v>59.253049335517922</v>
      </c>
      <c r="D15" s="29">
        <v>18.479431139679161</v>
      </c>
      <c r="E15" s="31">
        <f>'Historical responsibility C'!P45</f>
        <v>2.4181413383156767</v>
      </c>
      <c r="F15" s="31">
        <f>'Historical responsibility C'!Q45</f>
        <v>4.0757832958198135</v>
      </c>
      <c r="G15" s="4">
        <f t="shared" si="0"/>
        <v>0.75415319293331629</v>
      </c>
      <c r="H15" s="4">
        <f t="shared" si="1"/>
        <v>1.2711270997863908</v>
      </c>
      <c r="I15" s="30">
        <f>'Historical responsibility T'!D76</f>
        <v>10853866</v>
      </c>
      <c r="J15" s="4">
        <f t="shared" si="2"/>
        <v>8.1854776995703613</v>
      </c>
      <c r="K15" s="4">
        <f t="shared" si="3"/>
        <v>13.796643210050116</v>
      </c>
    </row>
    <row r="16" spans="2:14">
      <c r="B16">
        <v>2031</v>
      </c>
      <c r="C16" s="29">
        <v>60.591480510084104</v>
      </c>
      <c r="D16" s="29">
        <v>18.881568549848961</v>
      </c>
      <c r="E16" s="31">
        <f>'Historical responsibility C'!P46</f>
        <v>2.2443525543601557</v>
      </c>
      <c r="F16" s="31">
        <f>'Historical responsibility C'!Q46</f>
        <v>3.8536174165531345</v>
      </c>
      <c r="G16" s="4">
        <f t="shared" si="0"/>
        <v>0.69938704663483509</v>
      </c>
      <c r="H16" s="4">
        <f t="shared" si="1"/>
        <v>1.2008675279593175</v>
      </c>
      <c r="I16" s="30">
        <f>'Historical responsibility T'!D77</f>
        <v>10900734</v>
      </c>
      <c r="J16" s="4">
        <f t="shared" si="2"/>
        <v>7.6238321584119317</v>
      </c>
      <c r="K16" s="4">
        <f t="shared" si="3"/>
        <v>13.090337491522083</v>
      </c>
    </row>
    <row r="17" spans="2:11">
      <c r="B17">
        <v>2032</v>
      </c>
      <c r="C17" s="29">
        <v>61.912832494608189</v>
      </c>
      <c r="D17" s="29">
        <v>19.278444869820401</v>
      </c>
      <c r="E17" s="31">
        <f>'Historical responsibility C'!P47</f>
        <v>2.072754621109596</v>
      </c>
      <c r="F17" s="31">
        <f>'Historical responsibility C'!Q47</f>
        <v>3.6342522588331283</v>
      </c>
      <c r="G17" s="4">
        <f t="shared" si="0"/>
        <v>0.64541524077753631</v>
      </c>
      <c r="H17" s="4">
        <f t="shared" si="1"/>
        <v>1.1316350583869068</v>
      </c>
      <c r="I17" s="30">
        <f>'Historical responsibility T'!D78</f>
        <v>10946282</v>
      </c>
      <c r="J17" s="4">
        <f t="shared" si="2"/>
        <v>7.0648972326488115</v>
      </c>
      <c r="K17" s="4">
        <f t="shared" si="3"/>
        <v>12.387196470189547</v>
      </c>
    </row>
    <row r="18" spans="2:11">
      <c r="B18">
        <v>2033</v>
      </c>
      <c r="C18" s="29">
        <v>63.217430127689958</v>
      </c>
      <c r="D18" s="29">
        <v>19.670162673437517</v>
      </c>
      <c r="E18" s="31">
        <f>'Historical responsibility C'!P48</f>
        <v>1.9033063741837801</v>
      </c>
      <c r="F18" s="31">
        <f>'Historical responsibility C'!Q48</f>
        <v>3.4176351894539518</v>
      </c>
      <c r="G18" s="4">
        <f t="shared" si="0"/>
        <v>0.5922155633654439</v>
      </c>
      <c r="H18" s="4">
        <f t="shared" si="1"/>
        <v>1.0634003944677619</v>
      </c>
      <c r="I18" s="30">
        <f>'Historical responsibility T'!D79</f>
        <v>10991015</v>
      </c>
      <c r="J18" s="4">
        <f t="shared" si="2"/>
        <v>6.509050140183045</v>
      </c>
      <c r="K18" s="4">
        <f t="shared" si="3"/>
        <v>11.687849686601087</v>
      </c>
    </row>
    <row r="19" spans="2:11">
      <c r="B19">
        <v>2034</v>
      </c>
      <c r="C19" s="29">
        <v>64.505590062111793</v>
      </c>
      <c r="D19" s="29">
        <v>20.056821885294298</v>
      </c>
      <c r="E19" s="31">
        <f>'Historical responsibility C'!P49</f>
        <v>1.7359676741527703</v>
      </c>
      <c r="F19" s="31">
        <f>'Historical responsibility C'!Q49</f>
        <v>3.2037148900081935</v>
      </c>
      <c r="G19" s="4">
        <f t="shared" si="0"/>
        <v>0.53976708693905173</v>
      </c>
      <c r="H19" s="4">
        <f t="shared" si="1"/>
        <v>0.99613597609583537</v>
      </c>
      <c r="I19" s="30">
        <f>'Historical responsibility T'!D80</f>
        <v>11035492</v>
      </c>
      <c r="J19" s="4">
        <f t="shared" si="2"/>
        <v>5.95659536977921</v>
      </c>
      <c r="K19" s="4">
        <f t="shared" si="3"/>
        <v>10.992850595117783</v>
      </c>
    </row>
    <row r="20" spans="2:11">
      <c r="B20">
        <v>2035</v>
      </c>
      <c r="C20" s="29">
        <v>65.777621021073983</v>
      </c>
      <c r="D20" s="29">
        <v>20.438519865716156</v>
      </c>
      <c r="E20" s="31">
        <f>'Historical responsibility C'!P50</f>
        <v>1.5706993620545857</v>
      </c>
      <c r="F20" s="31">
        <f>'Historical responsibility C'!Q50</f>
        <v>2.9924413076990306</v>
      </c>
      <c r="G20" s="4">
        <f t="shared" si="0"/>
        <v>0.48805003306725225</v>
      </c>
      <c r="H20" s="4">
        <f t="shared" si="1"/>
        <v>0.92981579699882044</v>
      </c>
      <c r="I20" s="30">
        <f>'Historical responsibility T'!D81</f>
        <v>11079751</v>
      </c>
      <c r="J20" s="4">
        <f t="shared" si="2"/>
        <v>5.4074728419269213</v>
      </c>
      <c r="K20" s="4">
        <f t="shared" si="3"/>
        <v>10.302127506613479</v>
      </c>
    </row>
    <row r="21" spans="2:11">
      <c r="B21">
        <v>2036</v>
      </c>
      <c r="C21" s="29">
        <v>66.918729958471332</v>
      </c>
      <c r="D21" s="29">
        <v>20.794139700102921</v>
      </c>
      <c r="E21" s="31">
        <f>'Historical responsibility C'!P51</f>
        <v>1.4455120966601334</v>
      </c>
      <c r="F21" s="31">
        <f>'Historical responsibility C'!Q51</f>
        <v>2.8173525070583141</v>
      </c>
      <c r="G21" s="4">
        <f t="shared" si="0"/>
        <v>0.44917440146866366</v>
      </c>
      <c r="H21" s="4">
        <f t="shared" si="1"/>
        <v>0.87545626841038848</v>
      </c>
      <c r="I21" s="30">
        <f>'Historical responsibility T'!D82</f>
        <v>11123845</v>
      </c>
      <c r="J21" s="4">
        <f t="shared" si="2"/>
        <v>4.9965464199051866</v>
      </c>
      <c r="K21" s="4">
        <f t="shared" si="3"/>
        <v>9.7384398340755567</v>
      </c>
    </row>
    <row r="22" spans="2:11">
      <c r="B22">
        <v>2037</v>
      </c>
      <c r="C22" s="29">
        <v>68.045374610415607</v>
      </c>
      <c r="D22" s="29">
        <v>21.145791710382323</v>
      </c>
      <c r="E22" s="31">
        <f>'Historical responsibility C'!P52</f>
        <v>1.3216657773220948</v>
      </c>
      <c r="F22" s="31">
        <f>'Historical responsibility C'!Q52</f>
        <v>2.6441391637221825</v>
      </c>
      <c r="G22" s="4">
        <f t="shared" si="0"/>
        <v>0.41072107249029172</v>
      </c>
      <c r="H22" s="4">
        <f t="shared" si="1"/>
        <v>0.82169311770936071</v>
      </c>
      <c r="I22" s="30">
        <f>'Historical responsibility T'!D83</f>
        <v>11168066</v>
      </c>
      <c r="J22" s="4">
        <f t="shared" si="2"/>
        <v>4.5869600451623622</v>
      </c>
      <c r="K22" s="4">
        <f t="shared" si="3"/>
        <v>9.1767229703239099</v>
      </c>
    </row>
    <row r="23" spans="2:11">
      <c r="B23">
        <v>2038</v>
      </c>
      <c r="C23" s="29">
        <v>69.157828260982399</v>
      </c>
      <c r="D23" s="29">
        <v>21.493541934571173</v>
      </c>
      <c r="E23" s="31">
        <f>'Historical responsibility C'!P53</f>
        <v>1.1991389651427558</v>
      </c>
      <c r="F23" s="31">
        <f>'Historical responsibility C'!Q53</f>
        <v>2.4727713131946296</v>
      </c>
      <c r="G23" s="4">
        <f t="shared" si="0"/>
        <v>0.37268006067818044</v>
      </c>
      <c r="H23" s="4">
        <f t="shared" si="1"/>
        <v>0.76851189881477078</v>
      </c>
      <c r="I23" s="30">
        <f>'Historical responsibility T'!D84</f>
        <v>11212635</v>
      </c>
      <c r="J23" s="4">
        <f t="shared" si="2"/>
        <v>4.1787254921622896</v>
      </c>
      <c r="K23" s="4">
        <f t="shared" si="3"/>
        <v>8.6170434145669557</v>
      </c>
    </row>
    <row r="24" spans="2:11">
      <c r="B24">
        <v>2039</v>
      </c>
      <c r="C24" s="29">
        <v>70.256357352865308</v>
      </c>
      <c r="D24" s="29">
        <v>21.837454953310154</v>
      </c>
      <c r="E24" s="31">
        <f>'Historical responsibility C'!P54</f>
        <v>1.0779106923199497</v>
      </c>
      <c r="F24" s="31">
        <f>'Historical responsibility C'!Q54</f>
        <v>2.3032196094271065</v>
      </c>
      <c r="G24" s="4">
        <f t="shared" si="0"/>
        <v>0.33504193889534561</v>
      </c>
      <c r="H24" s="4">
        <f t="shared" si="1"/>
        <v>0.71589897859106366</v>
      </c>
      <c r="I24" s="30">
        <f>'Historical responsibility T'!D85</f>
        <v>11257650</v>
      </c>
      <c r="J24" s="4">
        <f t="shared" si="2"/>
        <v>3.7717848834051875</v>
      </c>
      <c r="K24" s="4">
        <f t="shared" si="3"/>
        <v>8.0593401363356882</v>
      </c>
    </row>
    <row r="25" spans="2:11">
      <c r="B25">
        <v>2040</v>
      </c>
      <c r="C25" s="29">
        <v>71.341221700128145</v>
      </c>
      <c r="D25" s="29">
        <v>22.177593929846328</v>
      </c>
      <c r="E25" s="31">
        <f>'Historical responsibility C'!P55</f>
        <v>0.95796041655091269</v>
      </c>
      <c r="F25" s="31">
        <f>'Historical responsibility C'!Q55</f>
        <v>2.1354553416994744</v>
      </c>
      <c r="G25" s="4">
        <f t="shared" si="0"/>
        <v>0.29779777543527014</v>
      </c>
      <c r="H25" s="4">
        <f t="shared" si="1"/>
        <v>0.66384146913827125</v>
      </c>
      <c r="I25" s="30">
        <f>'Historical responsibility T'!D86</f>
        <v>11303262</v>
      </c>
      <c r="J25" s="4">
        <f t="shared" si="2"/>
        <v>3.3660862787620225</v>
      </c>
      <c r="K25" s="4">
        <f t="shared" si="3"/>
        <v>7.5035740521347938</v>
      </c>
    </row>
    <row r="26" spans="2:11">
      <c r="B26">
        <v>2041</v>
      </c>
      <c r="C26" s="29">
        <v>72.310996826043407</v>
      </c>
      <c r="D26" s="29">
        <v>22.510495897431507</v>
      </c>
      <c r="E26" s="31">
        <f>'Historical responsibility C'!P56</f>
        <v>0.86620701125396515</v>
      </c>
      <c r="F26" s="31">
        <f>'Historical responsibility C'!Q56</f>
        <v>2.026479280838493</v>
      </c>
      <c r="G26" s="4">
        <f t="shared" si="0"/>
        <v>0.26965123188754264</v>
      </c>
      <c r="H26" s="4">
        <f t="shared" si="1"/>
        <v>0.6308453145416395</v>
      </c>
      <c r="I26" s="30">
        <f>'Historical responsibility T'!D87</f>
        <v>11349389</v>
      </c>
      <c r="J26" s="4">
        <f t="shared" si="2"/>
        <v>3.0603767250209257</v>
      </c>
      <c r="K26" s="4">
        <f t="shared" si="3"/>
        <v>7.1597088735604233</v>
      </c>
    </row>
    <row r="27" spans="2:11">
      <c r="B27">
        <v>2042</v>
      </c>
      <c r="C27" s="29">
        <v>73.267952587297032</v>
      </c>
      <c r="D27" s="29">
        <v>22.840316402867057</v>
      </c>
      <c r="E27" s="31">
        <f>'Historical responsibility C'!P57</f>
        <v>0.77526373737668219</v>
      </c>
      <c r="F27" s="31">
        <f>'Historical responsibility C'!Q57</f>
        <v>1.9184654178448186</v>
      </c>
      <c r="G27" s="4">
        <f t="shared" si="0"/>
        <v>0.24167822945857342</v>
      </c>
      <c r="H27" s="4">
        <f t="shared" si="1"/>
        <v>0.59805625248399941</v>
      </c>
      <c r="I27" s="30">
        <f>'Historical responsibility T'!D88</f>
        <v>11396046</v>
      </c>
      <c r="J27" s="4">
        <f t="shared" si="2"/>
        <v>2.7541762201084579</v>
      </c>
      <c r="K27" s="4">
        <f t="shared" si="3"/>
        <v>6.8154765638952712</v>
      </c>
    </row>
    <row r="28" spans="2:11">
      <c r="B28">
        <v>2043</v>
      </c>
      <c r="C28" s="29">
        <v>74.212341501817377</v>
      </c>
      <c r="D28" s="29">
        <v>23.167098033757753</v>
      </c>
      <c r="E28" s="31">
        <f>'Historical responsibility C'!P58</f>
        <v>0.68511991665829874</v>
      </c>
      <c r="F28" s="31">
        <f>'Historical responsibility C'!Q58</f>
        <v>1.8114010693168798</v>
      </c>
      <c r="G28" s="4">
        <f t="shared" si="0"/>
        <v>0.21387602052300231</v>
      </c>
      <c r="H28" s="4">
        <f t="shared" si="1"/>
        <v>0.56547071958765915</v>
      </c>
      <c r="I28" s="30">
        <f>'Historical responsibility T'!D89</f>
        <v>11443210</v>
      </c>
      <c r="J28" s="4">
        <f t="shared" si="2"/>
        <v>2.4474282168090249</v>
      </c>
      <c r="K28" s="4">
        <f t="shared" si="3"/>
        <v>6.4708001930926971</v>
      </c>
    </row>
    <row r="29" spans="2:11">
      <c r="B29">
        <v>2044</v>
      </c>
      <c r="C29" s="29">
        <v>75.144409498610472</v>
      </c>
      <c r="D29" s="29">
        <v>23.490882596526433</v>
      </c>
      <c r="E29" s="31">
        <f>'Historical responsibility C'!P59</f>
        <v>0.59576504552905585</v>
      </c>
      <c r="F29" s="31">
        <f>'Historical responsibility C'!Q59</f>
        <v>1.7052737616427642</v>
      </c>
      <c r="G29" s="4">
        <f t="shared" si="0"/>
        <v>0.18624202163563564</v>
      </c>
      <c r="H29" s="4">
        <f t="shared" si="1"/>
        <v>0.53308537517255905</v>
      </c>
      <c r="I29" s="30">
        <f>'Historical responsibility T'!D90</f>
        <v>11490789</v>
      </c>
      <c r="J29" s="4">
        <f t="shared" si="2"/>
        <v>2.1400677735485241</v>
      </c>
      <c r="K29" s="4">
        <f t="shared" si="3"/>
        <v>6.1255715650937148</v>
      </c>
    </row>
    <row r="30" spans="2:11">
      <c r="B30">
        <v>2045</v>
      </c>
      <c r="C30" s="29">
        <v>76.064396131272218</v>
      </c>
      <c r="D30" s="29">
        <v>23.811711134243708</v>
      </c>
      <c r="E30" s="31">
        <f>'Historical responsibility C'!P60</f>
        <v>0.50718881564763718</v>
      </c>
      <c r="F30" s="31">
        <f>'Historical responsibility C'!Q60</f>
        <v>1.6000712507730224</v>
      </c>
      <c r="G30" s="4">
        <f t="shared" si="0"/>
        <v>0.15877380460469484</v>
      </c>
      <c r="H30" s="4">
        <f t="shared" si="1"/>
        <v>0.50089708661936083</v>
      </c>
      <c r="I30" s="30">
        <f>'Historical responsibility T'!D91</f>
        <v>11538636</v>
      </c>
      <c r="J30" s="4">
        <f t="shared" si="2"/>
        <v>1.8320331376686976</v>
      </c>
      <c r="K30" s="4">
        <f t="shared" si="3"/>
        <v>5.7796691559612752</v>
      </c>
    </row>
    <row r="31" spans="2:11">
      <c r="B31">
        <v>2046</v>
      </c>
      <c r="C31" s="29">
        <v>76.923842364532021</v>
      </c>
      <c r="D31" s="29">
        <v>24.140230361077563</v>
      </c>
      <c r="E31" s="31">
        <f>'Historical responsibility C'!P61</f>
        <v>0.45560399519226513</v>
      </c>
      <c r="F31" s="31">
        <f>'Historical responsibility C'!Q61</f>
        <v>1.5150715258480638</v>
      </c>
      <c r="G31" s="4">
        <f t="shared" si="0"/>
        <v>0.14297758743314778</v>
      </c>
      <c r="H31" s="4">
        <f t="shared" si="1"/>
        <v>0.47545955224339037</v>
      </c>
      <c r="I31" s="30">
        <f>'Historical responsibility T'!D92</f>
        <v>11586564</v>
      </c>
      <c r="J31" s="4">
        <f t="shared" si="2"/>
        <v>1.6566189673597627</v>
      </c>
      <c r="K31" s="4">
        <f t="shared" si="3"/>
        <v>5.5089425314793861</v>
      </c>
    </row>
    <row r="32" spans="2:11">
      <c r="B32">
        <v>2047</v>
      </c>
      <c r="C32" s="29">
        <v>77.771654570659692</v>
      </c>
      <c r="D32" s="29">
        <v>24.466355669582846</v>
      </c>
      <c r="E32" s="31">
        <f>'Historical responsibility C'!P62</f>
        <v>0.40437415615599309</v>
      </c>
      <c r="F32" s="31">
        <f>'Historical responsibility C'!Q62</f>
        <v>1.4306567299264064</v>
      </c>
      <c r="G32" s="4">
        <f t="shared" si="0"/>
        <v>0.12721295416328238</v>
      </c>
      <c r="H32" s="4">
        <f t="shared" si="1"/>
        <v>0.45007344370769092</v>
      </c>
      <c r="I32" s="30">
        <f>'Historical responsibility T'!D93</f>
        <v>11634411</v>
      </c>
      <c r="J32" s="4">
        <f t="shared" si="2"/>
        <v>1.4800477932597884</v>
      </c>
      <c r="K32" s="4">
        <f t="shared" si="3"/>
        <v>5.23633942428064</v>
      </c>
    </row>
    <row r="33" spans="2:11">
      <c r="B33">
        <v>2048</v>
      </c>
      <c r="C33" s="29">
        <v>78.60806739024784</v>
      </c>
      <c r="D33" s="29">
        <v>24.790113131477632</v>
      </c>
      <c r="E33" s="31">
        <f>'Historical responsibility C'!P63</f>
        <v>0.35349565327477389</v>
      </c>
      <c r="F33" s="31">
        <f>'Historical responsibility C'!Q63</f>
        <v>1.3468208498672369</v>
      </c>
      <c r="G33" s="4">
        <f t="shared" si="0"/>
        <v>0.11147961687777613</v>
      </c>
      <c r="H33" s="4">
        <f t="shared" si="1"/>
        <v>0.42473810061108008</v>
      </c>
      <c r="I33" s="30">
        <f>'Historical responsibility T'!D94</f>
        <v>11682024</v>
      </c>
      <c r="J33" s="4">
        <f t="shared" si="2"/>
        <v>1.3023075598769858</v>
      </c>
      <c r="K33" s="4">
        <f t="shared" si="3"/>
        <v>4.9618006850530527</v>
      </c>
    </row>
    <row r="34" spans="2:11">
      <c r="B34">
        <v>2049</v>
      </c>
      <c r="C34" s="29">
        <v>79.433309196234589</v>
      </c>
      <c r="D34" s="29">
        <v>25.111528441259779</v>
      </c>
      <c r="E34" s="31">
        <f>'Historical responsibility C'!P64</f>
        <v>0.30296488230827961</v>
      </c>
      <c r="F34" s="31">
        <f>'Historical responsibility C'!Q64</f>
        <v>1.2635579507222989</v>
      </c>
      <c r="G34" s="4">
        <f t="shared" si="0"/>
        <v>9.5777342474709926E-2</v>
      </c>
      <c r="H34" s="4">
        <f t="shared" si="1"/>
        <v>0.39945297177984163</v>
      </c>
      <c r="I34" s="30">
        <f>'Historical responsibility T'!D95</f>
        <v>11729092</v>
      </c>
      <c r="J34" s="4">
        <f t="shared" si="2"/>
        <v>1.1233812614013805</v>
      </c>
      <c r="K34" s="4">
        <f t="shared" si="3"/>
        <v>4.6852206556791662</v>
      </c>
    </row>
    <row r="35" spans="2:11">
      <c r="B35">
        <v>2050</v>
      </c>
      <c r="C35" s="29">
        <v>80.24760230179028</v>
      </c>
      <c r="D35" s="29">
        <v>25.430626923004617</v>
      </c>
      <c r="E35" s="31">
        <f>'Historical responsibility C'!P65</f>
        <v>0.25277829010920116</v>
      </c>
      <c r="F35" s="31">
        <f>'Historical responsibility C'!Q65</f>
        <v>1.1808621823806063</v>
      </c>
      <c r="G35" s="4">
        <f t="shared" si="0"/>
        <v>8.0105949656002498E-2</v>
      </c>
      <c r="H35" s="4">
        <f t="shared" si="1"/>
        <v>0.37421760583787905</v>
      </c>
      <c r="I35" s="30">
        <f>'Historical responsibility T'!D96</f>
        <v>11775563</v>
      </c>
      <c r="J35" s="4">
        <f t="shared" si="2"/>
        <v>0.9432926568490857</v>
      </c>
      <c r="K35" s="4">
        <f t="shared" si="3"/>
        <v>4.4066229932531131</v>
      </c>
    </row>
  </sheetData>
  <hyperlinks>
    <hyperlink ref="G1" r:id="rId1" display="https://tntcat.iiasa.ac.at/SspDb/dsd?Action=htmlpage&amp;page=about" xr:uid="{8AF4F885-11C6-5E43-BEC2-0FBDCD241B9B}"/>
    <hyperlink ref="F1" r:id="rId2" display="https://www.scb.se/en/finding-statistics/statistics-by-subject-area/population/population-projections/population-projections/" xr:uid="{EF147F3A-6982-354A-9350-C69C070A76B2}"/>
    <hyperlink ref="E1" r:id="rId3" display="https://data.ene.iiasa.ac.at/ar6/" xr:uid="{CB509041-AAD6-0241-A951-8717DE0E678A}"/>
    <hyperlink ref="D1" r:id="rId4" location="section7" display="https://essd.copernicus.org/articles/14/1917/2022/ - section7" xr:uid="{92E8A2FB-3252-5349-8B0C-55A0DB171DE5}"/>
  </hyperlinks>
  <pageMargins left="0.7" right="0.7" top="0.75" bottom="0.75" header="0.3" footer="0.3"/>
  <pageSetup paperSize="9" orientation="portrait"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1D2E-0BD4-5F4C-ADC3-7F1CEB98DB26}">
  <dimension ref="A1:D31"/>
  <sheetViews>
    <sheetView topLeftCell="D1" workbookViewId="0">
      <selection activeCell="M38" sqref="M38"/>
    </sheetView>
  </sheetViews>
  <sheetFormatPr baseColWidth="10" defaultRowHeight="15"/>
  <cols>
    <col min="2" max="2" width="23.1640625" bestFit="1" customWidth="1"/>
    <col min="3" max="3" width="30.83203125" bestFit="1" customWidth="1"/>
  </cols>
  <sheetData>
    <row r="1" spans="1:4">
      <c r="B1" t="s">
        <v>55</v>
      </c>
      <c r="C1" t="s">
        <v>56</v>
      </c>
      <c r="D1" t="s">
        <v>57</v>
      </c>
    </row>
    <row r="2" spans="1:4">
      <c r="A2">
        <v>1990</v>
      </c>
      <c r="B2">
        <f>'Historical responsibility T'!C36</f>
        <v>57.420097830394205</v>
      </c>
      <c r="C2">
        <f>'Historical responsibility C'!C5</f>
        <v>85.041929692746763</v>
      </c>
      <c r="D2">
        <f>C2-B2</f>
        <v>27.621831862352558</v>
      </c>
    </row>
    <row r="3" spans="1:4">
      <c r="A3">
        <v>1991</v>
      </c>
      <c r="B3">
        <f>'Historical responsibility T'!C37</f>
        <v>57.794889745232204</v>
      </c>
      <c r="C3">
        <f>'Historical responsibility C'!C6</f>
        <v>84.168501180821934</v>
      </c>
      <c r="D3">
        <f t="shared" ref="D3:D5" si="0">C3-B3</f>
        <v>26.37361143558973</v>
      </c>
    </row>
    <row r="4" spans="1:4">
      <c r="A4">
        <v>1992</v>
      </c>
      <c r="B4">
        <f>'Historical responsibility T'!C38</f>
        <v>57.537000409425161</v>
      </c>
      <c r="C4">
        <f>'Historical responsibility C'!C7</f>
        <v>93.148868423455539</v>
      </c>
      <c r="D4">
        <f t="shared" si="0"/>
        <v>35.611868014030378</v>
      </c>
    </row>
    <row r="5" spans="1:4">
      <c r="A5">
        <v>1993</v>
      </c>
      <c r="B5">
        <f>'Historical responsibility T'!C39</f>
        <v>57.578112579168874</v>
      </c>
      <c r="C5">
        <f>'Historical responsibility C'!C8</f>
        <v>86.544269555664798</v>
      </c>
      <c r="D5">
        <f t="shared" si="0"/>
        <v>28.966156976495924</v>
      </c>
    </row>
    <row r="6" spans="1:4">
      <c r="A6">
        <v>1994</v>
      </c>
      <c r="B6">
        <f>'Historical responsibility T'!C40</f>
        <v>60.043421746156561</v>
      </c>
      <c r="C6">
        <f>'Historical responsibility C'!C9</f>
        <v>85.744979124245845</v>
      </c>
      <c r="D6">
        <f t="shared" ref="D6:D23" si="1">C6-B6</f>
        <v>25.701557378089284</v>
      </c>
    </row>
    <row r="7" spans="1:4">
      <c r="A7">
        <v>1995</v>
      </c>
      <c r="B7">
        <f>'Historical responsibility T'!C41</f>
        <v>59.457666012279695</v>
      </c>
      <c r="C7">
        <f>'Historical responsibility C'!C10</f>
        <v>84.770551730889196</v>
      </c>
      <c r="D7">
        <f t="shared" si="1"/>
        <v>25.3128857186095</v>
      </c>
    </row>
    <row r="8" spans="1:4">
      <c r="A8">
        <v>1996</v>
      </c>
      <c r="B8">
        <f>'Historical responsibility T'!C42</f>
        <v>63.396057101252694</v>
      </c>
      <c r="C8">
        <f>'Historical responsibility C'!C11</f>
        <v>89.391326781073531</v>
      </c>
      <c r="D8">
        <f t="shared" si="1"/>
        <v>25.995269679820836</v>
      </c>
    </row>
    <row r="9" spans="1:4">
      <c r="A9">
        <v>1997</v>
      </c>
      <c r="B9">
        <f>'Historical responsibility T'!C43</f>
        <v>58.293593135306473</v>
      </c>
      <c r="C9">
        <f>'Historical responsibility C'!C12</f>
        <v>84.196736163309012</v>
      </c>
      <c r="D9">
        <f t="shared" si="1"/>
        <v>25.903143028002539</v>
      </c>
    </row>
    <row r="10" spans="1:4">
      <c r="A10">
        <v>1998</v>
      </c>
      <c r="B10">
        <f>'Historical responsibility T'!C44</f>
        <v>58.764596063465966</v>
      </c>
      <c r="C10">
        <f>'Historical responsibility C'!C13</f>
        <v>85.023386438530096</v>
      </c>
      <c r="D10">
        <f t="shared" si="1"/>
        <v>26.25879037506413</v>
      </c>
    </row>
    <row r="11" spans="1:4">
      <c r="A11">
        <v>1999</v>
      </c>
      <c r="B11">
        <f>'Historical responsibility T'!C45</f>
        <v>55.898027594521203</v>
      </c>
      <c r="C11">
        <f>'Historical responsibility C'!C14</f>
        <v>80.600045909761036</v>
      </c>
      <c r="D11">
        <f t="shared" si="1"/>
        <v>24.702018315239833</v>
      </c>
    </row>
    <row r="12" spans="1:4">
      <c r="A12">
        <v>2000</v>
      </c>
      <c r="B12">
        <f>'Historical responsibility T'!C46</f>
        <v>54.749620858610335</v>
      </c>
      <c r="C12">
        <f>'Historical responsibility C'!C15</f>
        <v>82.368268265198665</v>
      </c>
      <c r="D12">
        <f t="shared" si="1"/>
        <v>27.61864740658833</v>
      </c>
    </row>
    <row r="13" spans="1:4">
      <c r="A13">
        <v>2001</v>
      </c>
      <c r="B13">
        <f>'Historical responsibility T'!C47</f>
        <v>55.678141695390501</v>
      </c>
      <c r="C13">
        <f>'Historical responsibility C'!C16</f>
        <v>78.178496619011796</v>
      </c>
      <c r="D13">
        <f t="shared" si="1"/>
        <v>22.500354923621295</v>
      </c>
    </row>
    <row r="14" spans="1:4">
      <c r="A14">
        <v>2002</v>
      </c>
      <c r="B14">
        <f>'Historical responsibility T'!C48</f>
        <v>56.648193164731303</v>
      </c>
      <c r="C14">
        <f>'Historical responsibility C'!C17</f>
        <v>80.746754617026298</v>
      </c>
      <c r="D14">
        <f t="shared" si="1"/>
        <v>24.098561452294994</v>
      </c>
    </row>
    <row r="15" spans="1:4">
      <c r="A15">
        <v>2003</v>
      </c>
      <c r="B15">
        <f>'Historical responsibility T'!C49</f>
        <v>57.229974154314128</v>
      </c>
      <c r="C15">
        <f>'Historical responsibility C'!C18</f>
        <v>86.387879403636077</v>
      </c>
      <c r="D15">
        <f t="shared" si="1"/>
        <v>29.157905249321949</v>
      </c>
    </row>
    <row r="16" spans="1:4">
      <c r="A16">
        <v>2004</v>
      </c>
      <c r="B16">
        <f>'Historical responsibility T'!C50</f>
        <v>56.542300971483797</v>
      </c>
      <c r="C16">
        <f>'Historical responsibility C'!C19</f>
        <v>87.889742504733405</v>
      </c>
      <c r="D16">
        <f t="shared" si="1"/>
        <v>31.347441533249608</v>
      </c>
    </row>
    <row r="17" spans="1:4">
      <c r="A17">
        <v>2005</v>
      </c>
      <c r="B17">
        <f>'Historical responsibility T'!C51</f>
        <v>53.923633622090101</v>
      </c>
      <c r="C17">
        <f>'Historical responsibility C'!C20</f>
        <v>86.40837488830762</v>
      </c>
      <c r="D17">
        <f t="shared" si="1"/>
        <v>32.484741266217519</v>
      </c>
    </row>
    <row r="18" spans="1:4">
      <c r="A18">
        <v>2006</v>
      </c>
      <c r="B18">
        <f>'Historical responsibility T'!C52</f>
        <v>53.741723669100871</v>
      </c>
      <c r="C18">
        <f>'Historical responsibility C'!C21</f>
        <v>88.948022942156399</v>
      </c>
      <c r="D18">
        <f t="shared" si="1"/>
        <v>35.206299273055528</v>
      </c>
    </row>
    <row r="19" spans="1:4">
      <c r="A19">
        <v>2007</v>
      </c>
      <c r="B19">
        <f>'Historical responsibility T'!C53</f>
        <v>53.008743289656735</v>
      </c>
      <c r="C19">
        <f>'Historical responsibility C'!C22</f>
        <v>91.220350171564903</v>
      </c>
      <c r="D19">
        <f t="shared" si="1"/>
        <v>38.211606881908168</v>
      </c>
    </row>
    <row r="20" spans="1:4">
      <c r="A20">
        <v>2008</v>
      </c>
      <c r="B20">
        <f>'Historical responsibility T'!C54</f>
        <v>50.923874711280632</v>
      </c>
      <c r="C20">
        <f>'Historical responsibility C'!C23</f>
        <v>87.540189707541629</v>
      </c>
      <c r="D20">
        <f t="shared" si="1"/>
        <v>36.616314996260996</v>
      </c>
    </row>
    <row r="21" spans="1:4">
      <c r="A21">
        <v>2009</v>
      </c>
      <c r="B21">
        <f>'Historical responsibility T'!C55</f>
        <v>47.28659147108673</v>
      </c>
      <c r="C21">
        <f>'Historical responsibility C'!C24</f>
        <v>74.584599257321258</v>
      </c>
      <c r="D21">
        <f t="shared" si="1"/>
        <v>27.298007786234528</v>
      </c>
    </row>
    <row r="22" spans="1:4">
      <c r="A22">
        <v>2010</v>
      </c>
      <c r="B22">
        <f>'Historical responsibility T'!C56</f>
        <v>53.165018639947498</v>
      </c>
      <c r="C22">
        <f>'Historical responsibility C'!C25</f>
        <v>86.428034862437414</v>
      </c>
      <c r="D22">
        <f t="shared" si="1"/>
        <v>33.263016222489917</v>
      </c>
    </row>
    <row r="23" spans="1:4">
      <c r="A23">
        <v>2011</v>
      </c>
      <c r="B23">
        <f>'Historical responsibility T'!C57</f>
        <v>49.293118701494798</v>
      </c>
      <c r="C23">
        <f>'Historical responsibility C'!C26</f>
        <v>82.992831282385211</v>
      </c>
      <c r="D23">
        <f t="shared" si="1"/>
        <v>33.699712580890413</v>
      </c>
    </row>
    <row r="24" spans="1:4">
      <c r="A24">
        <v>2012</v>
      </c>
      <c r="B24">
        <f>'Historical responsibility T'!C58</f>
        <v>46.80789296237193</v>
      </c>
      <c r="C24">
        <f>'Historical responsibility C'!C27</f>
        <v>78.569558632992894</v>
      </c>
      <c r="D24">
        <f t="shared" ref="D24:D31" si="2">C24-B24</f>
        <v>31.761665670620964</v>
      </c>
    </row>
    <row r="25" spans="1:4">
      <c r="A25">
        <v>2013</v>
      </c>
      <c r="B25">
        <f>'Historical responsibility T'!C59</f>
        <v>45.238897173100405</v>
      </c>
      <c r="C25">
        <f>'Historical responsibility C'!C28</f>
        <v>74.931324057396765</v>
      </c>
      <c r="D25">
        <f t="shared" si="2"/>
        <v>29.69242688429636</v>
      </c>
    </row>
    <row r="26" spans="1:4">
      <c r="A26">
        <v>2014</v>
      </c>
      <c r="B26">
        <f>'Historical responsibility T'!C60</f>
        <v>43.367483821846065</v>
      </c>
      <c r="C26">
        <f>'Historical responsibility C'!C29</f>
        <v>72.235854091062933</v>
      </c>
      <c r="D26">
        <f t="shared" si="2"/>
        <v>28.868370269216868</v>
      </c>
    </row>
    <row r="27" spans="1:4">
      <c r="A27">
        <v>2015</v>
      </c>
      <c r="B27">
        <f>'Historical responsibility T'!C61</f>
        <v>43.634334583385339</v>
      </c>
      <c r="C27">
        <f>'Historical responsibility C'!C30</f>
        <v>70.746298840911834</v>
      </c>
      <c r="D27">
        <f t="shared" si="2"/>
        <v>27.111964257526495</v>
      </c>
    </row>
    <row r="28" spans="1:4">
      <c r="A28">
        <v>2016</v>
      </c>
      <c r="B28">
        <f>'Historical responsibility T'!C62</f>
        <v>43.293494864515132</v>
      </c>
      <c r="C28">
        <f>'Historical responsibility C'!C31</f>
        <v>69.990736491284764</v>
      </c>
      <c r="D28">
        <f t="shared" si="2"/>
        <v>26.697241626769632</v>
      </c>
    </row>
    <row r="29" spans="1:4">
      <c r="A29">
        <v>2017</v>
      </c>
      <c r="B29">
        <f>'Historical responsibility T'!C63</f>
        <v>42.624727784158665</v>
      </c>
      <c r="C29">
        <f>'Historical responsibility C'!C32</f>
        <v>70.598838235214302</v>
      </c>
      <c r="D29">
        <f t="shared" si="2"/>
        <v>27.974110451055637</v>
      </c>
    </row>
    <row r="30" spans="1:4">
      <c r="A30">
        <v>2018</v>
      </c>
      <c r="B30">
        <f>'Historical responsibility T'!C64</f>
        <v>42.126045169043735</v>
      </c>
      <c r="C30">
        <f>'Historical responsibility C'!C33</f>
        <v>71.105752208901663</v>
      </c>
      <c r="D30">
        <f t="shared" si="2"/>
        <v>28.979707039857928</v>
      </c>
    </row>
    <row r="31" spans="1:4">
      <c r="A31">
        <v>2019</v>
      </c>
      <c r="B31">
        <f>'Historical responsibility T'!C65</f>
        <v>40.966660509600835</v>
      </c>
      <c r="C31">
        <f>'Historical responsibility C'!C34</f>
        <v>67.938478760215062</v>
      </c>
      <c r="D31">
        <f t="shared" si="2"/>
        <v>26.971818250614227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Historical responsibility T</vt:lpstr>
      <vt:lpstr>Net-Zero Territorial</vt:lpstr>
      <vt:lpstr>Historical responsibility C</vt:lpstr>
      <vt:lpstr>Net-Zero Consumption-based</vt:lpstr>
      <vt:lpstr>Historical responsibility C+T</vt:lpstr>
      <vt:lpstr>Net-Zero C+T</vt:lpstr>
      <vt:lpstr>IPCC IMPs</vt:lpstr>
      <vt:lpstr>Economic capacity</vt:lpstr>
      <vt:lpstr>T vs C over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Johansson</dc:creator>
  <cp:lastModifiedBy>Johannes Morfeldt</cp:lastModifiedBy>
  <dcterms:created xsi:type="dcterms:W3CDTF">2022-05-12T07:27:49Z</dcterms:created>
  <dcterms:modified xsi:type="dcterms:W3CDTF">2024-09-18T14:46:07Z</dcterms:modified>
</cp:coreProperties>
</file>